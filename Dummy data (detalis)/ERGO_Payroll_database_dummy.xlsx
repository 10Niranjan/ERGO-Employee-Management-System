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ergoasiainc773-my.sharepoint.com/personal/mohanjoshi_ergo-asia_co/Documents/Documents/ERGO ASIA/ERGO ASIA TRANSFORMATION/"/>
    </mc:Choice>
  </mc:AlternateContent>
  <xr:revisionPtr revIDLastSave="9" documentId="8_{B6442E98-F5DD-C34D-A111-30B79F0FEE7D}" xr6:coauthVersionLast="47" xr6:coauthVersionMax="47" xr10:uidLastSave="{9F3579AE-88FF-804C-A379-6D2B2AE99A63}"/>
  <bookViews>
    <workbookView xWindow="0" yWindow="660" windowWidth="30240" windowHeight="17760" activeTab="6" xr2:uid="{00000000-000D-0000-FFFF-FFFF00000000}"/>
  </bookViews>
  <sheets>
    <sheet name="Settings" sheetId="1" r:id="rId1"/>
    <sheet name="Employee_Master" sheetId="2" r:id="rId2"/>
    <sheet name="Daily_Attendance" sheetId="3" r:id="rId3"/>
    <sheet name="Leave_Register" sheetId="4" r:id="rId4"/>
    <sheet name="Monthly_Payroll" sheetId="5" r:id="rId5"/>
    <sheet name="Payslip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6" l="1"/>
  <c r="P4" i="5" l="1"/>
  <c r="E3" i="5" l="1"/>
  <c r="D3" i="5"/>
  <c r="C3" i="5"/>
  <c r="B12" i="7" s="1"/>
  <c r="B3" i="5"/>
  <c r="S3" i="5" s="1"/>
  <c r="C3" i="4"/>
  <c r="B3" i="4"/>
  <c r="C13" i="3"/>
  <c r="B13" i="3"/>
  <c r="A13" i="3"/>
  <c r="AJ13" i="3" s="1"/>
  <c r="C12" i="3"/>
  <c r="B12" i="3"/>
  <c r="A12" i="3"/>
  <c r="C11" i="3"/>
  <c r="B11" i="3"/>
  <c r="A11" i="3"/>
  <c r="C10" i="3"/>
  <c r="B10" i="3"/>
  <c r="A10" i="3"/>
  <c r="AK10" i="3" s="1"/>
  <c r="C9" i="3"/>
  <c r="B9" i="3"/>
  <c r="A9" i="3"/>
  <c r="AJ9" i="3" s="1"/>
  <c r="C8" i="3"/>
  <c r="B8" i="3"/>
  <c r="A8" i="3"/>
  <c r="AL8" i="3" s="1"/>
  <c r="C7" i="3"/>
  <c r="B7" i="3"/>
  <c r="A7" i="3"/>
  <c r="AM7" i="3" s="1"/>
  <c r="C6" i="3"/>
  <c r="B6" i="3"/>
  <c r="A6" i="3"/>
  <c r="AK6" i="3" s="1"/>
  <c r="C5" i="3"/>
  <c r="B5" i="3"/>
  <c r="A5" i="3"/>
  <c r="AN5" i="3" s="1"/>
  <c r="C4" i="3"/>
  <c r="B4" i="3"/>
  <c r="A4" i="3"/>
  <c r="C3" i="3"/>
  <c r="B3" i="3"/>
  <c r="A3" i="3"/>
  <c r="AK3" i="3" s="1"/>
  <c r="C16" i="3"/>
  <c r="B16" i="3"/>
  <c r="A16" i="3"/>
  <c r="C15" i="3"/>
  <c r="B15" i="3"/>
  <c r="A15" i="3"/>
  <c r="AK15" i="3" s="1"/>
  <c r="C14" i="3"/>
  <c r="B14" i="3"/>
  <c r="A14" i="3"/>
  <c r="AM14" i="3" s="1"/>
  <c r="B4" i="7"/>
  <c r="B3" i="7"/>
  <c r="B12" i="6"/>
  <c r="B11" i="6"/>
  <c r="B10" i="6"/>
  <c r="B9" i="6"/>
  <c r="B8" i="6"/>
  <c r="D7" i="6"/>
  <c r="B7" i="6"/>
  <c r="B6" i="6"/>
  <c r="A3" i="6"/>
  <c r="A3" i="5"/>
  <c r="E2" i="5"/>
  <c r="D2" i="5"/>
  <c r="C2" i="5"/>
  <c r="B11" i="7" s="1"/>
  <c r="B2" i="5"/>
  <c r="S2" i="5" s="1"/>
  <c r="A2" i="5"/>
  <c r="A3" i="4"/>
  <c r="C2" i="4"/>
  <c r="B2" i="4"/>
  <c r="E2" i="4" s="1"/>
  <c r="A2" i="4"/>
  <c r="C21" i="3"/>
  <c r="B21" i="3"/>
  <c r="A21" i="3"/>
  <c r="AM21" i="3" s="1"/>
  <c r="C20" i="3"/>
  <c r="B20" i="3"/>
  <c r="A20" i="3"/>
  <c r="AO20" i="3" s="1"/>
  <c r="C19" i="3"/>
  <c r="B19" i="3"/>
  <c r="A19" i="3"/>
  <c r="AO19" i="3" s="1"/>
  <c r="C18" i="3"/>
  <c r="B18" i="3"/>
  <c r="A18" i="3"/>
  <c r="AO18" i="3" s="1"/>
  <c r="C17" i="3"/>
  <c r="B17" i="3"/>
  <c r="A17" i="3"/>
  <c r="AK17" i="3" s="1"/>
  <c r="C2" i="3"/>
  <c r="B2" i="3"/>
  <c r="A2" i="3"/>
  <c r="AN2" i="3" s="1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Q3" i="5" l="1"/>
  <c r="R3" i="5"/>
  <c r="J3" i="4"/>
  <c r="H3" i="4"/>
  <c r="I3" i="4"/>
  <c r="D3" i="4"/>
  <c r="E3" i="4"/>
  <c r="A12" i="7"/>
  <c r="AL6" i="3"/>
  <c r="AN20" i="3"/>
  <c r="AM6" i="3"/>
  <c r="R2" i="5"/>
  <c r="AJ15" i="3"/>
  <c r="AI20" i="3"/>
  <c r="AJ20" i="3"/>
  <c r="AL13" i="3"/>
  <c r="AK20" i="3"/>
  <c r="AN13" i="3"/>
  <c r="AM17" i="3"/>
  <c r="AL20" i="3"/>
  <c r="AN17" i="3"/>
  <c r="AM20" i="3"/>
  <c r="AI2" i="3"/>
  <c r="AK9" i="3"/>
  <c r="AL9" i="3"/>
  <c r="Q2" i="5"/>
  <c r="AM9" i="3"/>
  <c r="AN9" i="3"/>
  <c r="AK13" i="3"/>
  <c r="AN7" i="3"/>
  <c r="AM13" i="3"/>
  <c r="AN10" i="3"/>
  <c r="AL17" i="3"/>
  <c r="AO17" i="3"/>
  <c r="AK2" i="3"/>
  <c r="J2" i="4" s="1"/>
  <c r="AL2" i="3"/>
  <c r="AI9" i="3"/>
  <c r="AJ2" i="3"/>
  <c r="F2" i="4" s="1"/>
  <c r="AN14" i="3"/>
  <c r="AM2" i="3"/>
  <c r="O2" i="5"/>
  <c r="AN6" i="3"/>
  <c r="L3" i="4" s="1"/>
  <c r="AI4" i="3"/>
  <c r="AJ16" i="3"/>
  <c r="AI16" i="3"/>
  <c r="AI11" i="3"/>
  <c r="AK16" i="3"/>
  <c r="AL16" i="3"/>
  <c r="AI18" i="3"/>
  <c r="AM16" i="3"/>
  <c r="AN16" i="3"/>
  <c r="AO21" i="3"/>
  <c r="AL3" i="3"/>
  <c r="AI6" i="3"/>
  <c r="AM3" i="3"/>
  <c r="AJ6" i="3"/>
  <c r="F3" i="4" s="1"/>
  <c r="AJ8" i="3"/>
  <c r="AL10" i="3"/>
  <c r="AI13" i="3"/>
  <c r="L2" i="4"/>
  <c r="AN21" i="3"/>
  <c r="AN3" i="3"/>
  <c r="AM10" i="3"/>
  <c r="AI5" i="3"/>
  <c r="AI12" i="3"/>
  <c r="AI19" i="3"/>
  <c r="AJ5" i="3"/>
  <c r="AJ12" i="3"/>
  <c r="AJ19" i="3"/>
  <c r="AK5" i="3"/>
  <c r="AI8" i="3"/>
  <c r="AK12" i="3"/>
  <c r="AI15" i="3"/>
  <c r="AK19" i="3"/>
  <c r="D2" i="4"/>
  <c r="AL5" i="3"/>
  <c r="AL12" i="3"/>
  <c r="AL19" i="3"/>
  <c r="AN12" i="3"/>
  <c r="AL15" i="3"/>
  <c r="AJ18" i="3"/>
  <c r="AK4" i="3"/>
  <c r="AM8" i="3"/>
  <c r="AM15" i="3"/>
  <c r="AI21" i="3"/>
  <c r="H2" i="4"/>
  <c r="AL4" i="3"/>
  <c r="AJ7" i="3"/>
  <c r="AN8" i="3"/>
  <c r="AL11" i="3"/>
  <c r="AJ14" i="3"/>
  <c r="AN15" i="3"/>
  <c r="AL18" i="3"/>
  <c r="AJ21" i="3"/>
  <c r="I2" i="4"/>
  <c r="AM19" i="3"/>
  <c r="D8" i="6"/>
  <c r="AI3" i="3"/>
  <c r="AM4" i="3"/>
  <c r="AK7" i="3"/>
  <c r="AI10" i="3"/>
  <c r="AM11" i="3"/>
  <c r="AK14" i="3"/>
  <c r="AO15" i="3"/>
  <c r="AI17" i="3"/>
  <c r="AM18" i="3"/>
  <c r="AK21" i="3"/>
  <c r="AM5" i="3"/>
  <c r="AK8" i="3"/>
  <c r="AM12" i="3"/>
  <c r="AJ4" i="3"/>
  <c r="AJ11" i="3"/>
  <c r="AN19" i="3"/>
  <c r="AK11" i="3"/>
  <c r="AI14" i="3"/>
  <c r="AK18" i="3"/>
  <c r="AJ3" i="3"/>
  <c r="AN4" i="3"/>
  <c r="AL7" i="3"/>
  <c r="AJ10" i="3"/>
  <c r="AN11" i="3"/>
  <c r="AL14" i="3"/>
  <c r="AJ17" i="3"/>
  <c r="AN18" i="3"/>
  <c r="AL21" i="3"/>
  <c r="A11" i="7"/>
  <c r="AI7" i="3"/>
  <c r="AO16" i="3" l="1"/>
  <c r="D18" i="6"/>
  <c r="T3" i="5"/>
  <c r="K3" i="4"/>
  <c r="G3" i="4"/>
  <c r="D20" i="6"/>
  <c r="D19" i="6"/>
  <c r="B26" i="6"/>
  <c r="D12" i="6"/>
  <c r="G2" i="4"/>
  <c r="D11" i="7"/>
  <c r="T2" i="5"/>
  <c r="AO2" i="3"/>
  <c r="F2" i="5" s="1"/>
  <c r="L2" i="5" s="1"/>
  <c r="AO4" i="3"/>
  <c r="D12" i="7"/>
  <c r="AO5" i="3"/>
  <c r="AO14" i="3"/>
  <c r="K2" i="4"/>
  <c r="D13" i="6"/>
  <c r="AO3" i="3"/>
  <c r="AO9" i="3"/>
  <c r="AO12" i="3"/>
  <c r="AO11" i="3"/>
  <c r="D11" i="6"/>
  <c r="AO8" i="3"/>
  <c r="AO13" i="3"/>
  <c r="AO6" i="3"/>
  <c r="F3" i="5" s="1"/>
  <c r="AO10" i="3"/>
  <c r="AO7" i="3"/>
  <c r="N3" i="5" l="1"/>
  <c r="K3" i="5"/>
  <c r="I3" i="5"/>
  <c r="H3" i="5"/>
  <c r="G3" i="5"/>
  <c r="L3" i="5"/>
  <c r="J3" i="5"/>
  <c r="M3" i="5"/>
  <c r="D27" i="6"/>
  <c r="D14" i="6"/>
  <c r="M2" i="5"/>
  <c r="H2" i="5"/>
  <c r="G2" i="5"/>
  <c r="K2" i="5"/>
  <c r="D9" i="6"/>
  <c r="B8" i="7"/>
  <c r="J2" i="5"/>
  <c r="I2" i="5"/>
  <c r="N2" i="5"/>
  <c r="C11" i="7"/>
  <c r="B6" i="7"/>
  <c r="C12" i="7"/>
  <c r="P3" i="5" l="1"/>
  <c r="U3" i="5" s="1"/>
  <c r="E12" i="7" s="1"/>
  <c r="B23" i="6"/>
  <c r="B20" i="6"/>
  <c r="B22" i="6"/>
  <c r="B21" i="6"/>
  <c r="B24" i="6"/>
  <c r="B18" i="6"/>
  <c r="B19" i="6"/>
  <c r="B25" i="6"/>
  <c r="P2" i="5"/>
  <c r="U2" i="5" s="1"/>
  <c r="B27" i="6" l="1"/>
  <c r="D28" i="6" s="1"/>
  <c r="B5" i="7"/>
  <c r="E11" i="7"/>
  <c r="B7" i="7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<sst xmlns="http://schemas.openxmlformats.org/spreadsheetml/2006/main" count="434" uniqueCount="117">
  <si>
    <t>Attendance, Leave &amp; Payroll System</t>
  </si>
  <si>
    <t>Company Name</t>
  </si>
  <si>
    <t>ERGO ASIA INC.</t>
  </si>
  <si>
    <t>Code</t>
  </si>
  <si>
    <t>Meaning</t>
  </si>
  <si>
    <t>Payroll Month Start</t>
  </si>
  <si>
    <t>P</t>
  </si>
  <si>
    <t>Present</t>
  </si>
  <si>
    <t>Monthly CL Earned</t>
  </si>
  <si>
    <t>A</t>
  </si>
  <si>
    <t>Absent / LWP</t>
  </si>
  <si>
    <t>Monthly EL Earned</t>
  </si>
  <si>
    <t>CL</t>
  </si>
  <si>
    <t>Casual Leave</t>
  </si>
  <si>
    <t>Default Professional Tax</t>
  </si>
  <si>
    <t>EL</t>
  </si>
  <si>
    <t>Earned Leave</t>
  </si>
  <si>
    <t>Default PF Deduction</t>
  </si>
  <si>
    <t>H</t>
  </si>
  <si>
    <t>Paid Holiday</t>
  </si>
  <si>
    <t>Default TDS</t>
  </si>
  <si>
    <t>WO</t>
  </si>
  <si>
    <t>Weekly Off</t>
  </si>
  <si>
    <t>Status Codes</t>
  </si>
  <si>
    <t>P, A, CL, EL, H, WO, HD, LWP</t>
  </si>
  <si>
    <t>HD</t>
  </si>
  <si>
    <t>Half Day Present</t>
  </si>
  <si>
    <t>LWP</t>
  </si>
  <si>
    <t>Leave Without Pay</t>
  </si>
  <si>
    <t>Emp ID</t>
  </si>
  <si>
    <t>Employee Name</t>
  </si>
  <si>
    <t>Date of Joining</t>
  </si>
  <si>
    <t>Designation</t>
  </si>
  <si>
    <t>PAN</t>
  </si>
  <si>
    <t>Bank Account No.</t>
  </si>
  <si>
    <t>Bank Name / IFSC</t>
  </si>
  <si>
    <t>Opening CL</t>
  </si>
  <si>
    <t>Opening EL</t>
  </si>
  <si>
    <t>Basic</t>
  </si>
  <si>
    <t>HRA</t>
  </si>
  <si>
    <t>Education Allowance</t>
  </si>
  <si>
    <t>Conveyance</t>
  </si>
  <si>
    <t>Professional Development</t>
  </si>
  <si>
    <t>Other Allowance</t>
  </si>
  <si>
    <t>LTA</t>
  </si>
  <si>
    <t>Employer PF</t>
  </si>
  <si>
    <t>Bonus</t>
  </si>
  <si>
    <t>PF Deduction</t>
  </si>
  <si>
    <t>Professional Tax</t>
  </si>
  <si>
    <t>TDS</t>
  </si>
  <si>
    <t>Active?</t>
  </si>
  <si>
    <t>Sumit Sunil Chirmade</t>
  </si>
  <si>
    <t>Assistant Manager - NPD &amp; Purchase</t>
  </si>
  <si>
    <t>BAEPC0565P</t>
  </si>
  <si>
    <t>50100626527431</t>
  </si>
  <si>
    <t>HDFC Bank Limited Shirval (IFSC: HDFC0003543)</t>
  </si>
  <si>
    <t>Yes</t>
  </si>
  <si>
    <t>Present Days</t>
  </si>
  <si>
    <t>CL Taken</t>
  </si>
  <si>
    <t>EL Taken</t>
  </si>
  <si>
    <t>Paid Holidays/WO</t>
  </si>
  <si>
    <t>Half Days</t>
  </si>
  <si>
    <t>LWP/Absent</t>
  </si>
  <si>
    <t>Paid Days</t>
  </si>
  <si>
    <t>Month</t>
  </si>
  <si>
    <t>CL Earned</t>
  </si>
  <si>
    <t>Closing CL</t>
  </si>
  <si>
    <t>EL Earned</t>
  </si>
  <si>
    <t>Closing EL</t>
  </si>
  <si>
    <t>Total Days</t>
  </si>
  <si>
    <t>Education</t>
  </si>
  <si>
    <t>Prof Dev</t>
  </si>
  <si>
    <t>Other Allow</t>
  </si>
  <si>
    <t>Gross Income</t>
  </si>
  <si>
    <t>PF Ded</t>
  </si>
  <si>
    <t>Total Deduction</t>
  </si>
  <si>
    <t>Net Salary</t>
  </si>
  <si>
    <t>SALARY SLIP</t>
  </si>
  <si>
    <t>Select Employee ID</t>
  </si>
  <si>
    <t>MONTH</t>
  </si>
  <si>
    <t>Employee Code</t>
  </si>
  <si>
    <t>Total no of days</t>
  </si>
  <si>
    <t>No of days attended</t>
  </si>
  <si>
    <t>PAN number</t>
  </si>
  <si>
    <t>Leaves</t>
  </si>
  <si>
    <t>Bank Account Number</t>
  </si>
  <si>
    <t>Previous CL + EL</t>
  </si>
  <si>
    <t>Bank Name</t>
  </si>
  <si>
    <t>Leave earned this month</t>
  </si>
  <si>
    <t>Leave taken this month</t>
  </si>
  <si>
    <t>Net Balance</t>
  </si>
  <si>
    <t>Income</t>
  </si>
  <si>
    <t>Deductions</t>
  </si>
  <si>
    <t>Particulars</t>
  </si>
  <si>
    <t>Amount (INR)</t>
  </si>
  <si>
    <t>PF</t>
  </si>
  <si>
    <t>House Rent Allowance</t>
  </si>
  <si>
    <t>Conveyance Allowance</t>
  </si>
  <si>
    <t>Professional Development allowance</t>
  </si>
  <si>
    <t>Leave Travel Allowance (LTA)</t>
  </si>
  <si>
    <t>PF(Employer contribution)</t>
  </si>
  <si>
    <t>Total</t>
  </si>
  <si>
    <t>Employee signature</t>
  </si>
  <si>
    <t>Employer Signature</t>
  </si>
  <si>
    <t>Payroll Summary Dashboard</t>
  </si>
  <si>
    <t>Active Employees</t>
  </si>
  <si>
    <t>Total Gross Salary</t>
  </si>
  <si>
    <t>Total Deductions</t>
  </si>
  <si>
    <t>Total Net Salary</t>
  </si>
  <si>
    <t>Total Leave Taken</t>
  </si>
  <si>
    <t>Leave Taken</t>
  </si>
  <si>
    <t>No</t>
  </si>
  <si>
    <t>Mahesh Swami</t>
  </si>
  <si>
    <t>Asst Manager Purchase &amp; NPD</t>
  </si>
  <si>
    <t>918010053106200</t>
  </si>
  <si>
    <t>Axis Bank (UTIB0000037)</t>
  </si>
  <si>
    <t>FIZPS4652A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</si>
</sst>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d"/>
    <numFmt numFmtId="166" formatCode="[$-409]mmmm\ d\,\ yyyy;@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6B84"/>
      </patternFill>
    </fill>
    <fill>
      <patternFill patternType="solid">
        <fgColor rgb="FFFFF2CC"/>
      </patternFill>
    </fill>
    <fill>
      <patternFill patternType="solid">
        <fgColor rgb="FFE0F2F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17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/>
    <xf numFmtId="166" fontId="0" fillId="0" borderId="1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" fontId="0" fillId="5" borderId="1" xfId="0" applyNumberForma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close-up of a signature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0"/>
  <sheetViews>
    <sheetView workbookViewId="0">
      <selection activeCell="B27" sqref="B27"/>
    </sheetView>
  </sheetViews>
  <sheetFormatPr baseColWidth="10" defaultColWidth="8.83203125" defaultRowHeight="14"/>
  <cols>
    <col min="1" max="5" width="22" customWidth="1"/>
  </cols>
  <sheetData>
    <row r="1" spans="1:52" ht="21">
      <c r="A1" s="29" t="s">
        <v>0</v>
      </c>
      <c r="B1" s="30"/>
      <c r="C1" s="30"/>
      <c r="D1" s="30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6">
      <c r="A3" s="2" t="s">
        <v>1</v>
      </c>
      <c r="B3" s="5" t="s">
        <v>2</v>
      </c>
      <c r="C3" s="4"/>
      <c r="D3" s="1" t="s">
        <v>3</v>
      </c>
      <c r="E3" s="1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6">
      <c r="A4" s="2" t="s">
        <v>5</v>
      </c>
      <c r="B4" s="6">
        <v>46204</v>
      </c>
      <c r="C4" s="4"/>
      <c r="D4" s="7" t="s">
        <v>6</v>
      </c>
      <c r="E4" s="7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16">
      <c r="A5" s="2" t="s">
        <v>8</v>
      </c>
      <c r="B5" s="5">
        <v>0</v>
      </c>
      <c r="C5" s="4"/>
      <c r="D5" s="7" t="s">
        <v>9</v>
      </c>
      <c r="E5" s="7" t="s">
        <v>10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16">
      <c r="A6" s="2" t="s">
        <v>11</v>
      </c>
      <c r="B6" s="5">
        <v>1</v>
      </c>
      <c r="C6" s="4"/>
      <c r="D6" s="7" t="s">
        <v>12</v>
      </c>
      <c r="E6" s="7" t="s">
        <v>13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32">
      <c r="A7" s="2" t="s">
        <v>14</v>
      </c>
      <c r="B7" s="5">
        <v>200</v>
      </c>
      <c r="C7" s="4"/>
      <c r="D7" s="7" t="s">
        <v>15</v>
      </c>
      <c r="E7" s="7" t="s">
        <v>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16">
      <c r="A8" s="2" t="s">
        <v>17</v>
      </c>
      <c r="B8" s="5">
        <v>0</v>
      </c>
      <c r="C8" s="4"/>
      <c r="D8" s="7" t="s">
        <v>18</v>
      </c>
      <c r="E8" s="7" t="s">
        <v>19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16">
      <c r="A9" s="2" t="s">
        <v>20</v>
      </c>
      <c r="B9" s="5">
        <v>0</v>
      </c>
      <c r="C9" s="4"/>
      <c r="D9" s="7" t="s">
        <v>21</v>
      </c>
      <c r="E9" s="7" t="s">
        <v>22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ht="16">
      <c r="A10" s="2" t="s">
        <v>23</v>
      </c>
      <c r="B10" s="5" t="s">
        <v>24</v>
      </c>
      <c r="C10" s="4"/>
      <c r="D10" s="7" t="s">
        <v>25</v>
      </c>
      <c r="E10" s="7" t="s">
        <v>26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4"/>
      <c r="B11" s="4"/>
      <c r="C11" s="4"/>
      <c r="D11" s="4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</sheetData>
  <mergeCells count="1">
    <mergeCell ref="A1:D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8"/>
  <sheetViews>
    <sheetView workbookViewId="0">
      <selection activeCell="D15" sqref="D15"/>
    </sheetView>
  </sheetViews>
  <sheetFormatPr baseColWidth="10" defaultColWidth="8.83203125" defaultRowHeight="14"/>
  <cols>
    <col min="1" max="1" width="7.5" bestFit="1" customWidth="1"/>
    <col min="2" max="2" width="18.33203125" bestFit="1" customWidth="1"/>
    <col min="3" max="3" width="14.6640625" bestFit="1" customWidth="1"/>
    <col min="4" max="4" width="30.33203125" bestFit="1" customWidth="1"/>
    <col min="5" max="5" width="15.1640625" bestFit="1" customWidth="1"/>
    <col min="6" max="6" width="17.33203125" style="25" bestFit="1" customWidth="1"/>
    <col min="7" max="7" width="42.5" bestFit="1" customWidth="1"/>
    <col min="8" max="8" width="10.83203125" customWidth="1"/>
    <col min="9" max="9" width="13" bestFit="1" customWidth="1"/>
    <col min="10" max="10" width="7.6640625" bestFit="1" customWidth="1"/>
    <col min="11" max="11" width="6.6640625" bestFit="1" customWidth="1"/>
    <col min="12" max="12" width="15.33203125" bestFit="1" customWidth="1"/>
    <col min="13" max="13" width="12" bestFit="1" customWidth="1"/>
    <col min="14" max="14" width="12.83203125" bestFit="1" customWidth="1"/>
    <col min="15" max="15" width="15.83203125" bestFit="1" customWidth="1"/>
    <col min="16" max="16" width="5.6640625" bestFit="1" customWidth="1"/>
    <col min="17" max="17" width="12.33203125" bestFit="1" customWidth="1"/>
    <col min="18" max="18" width="7" bestFit="1" customWidth="1"/>
    <col min="19" max="19" width="13.1640625" bestFit="1" customWidth="1"/>
    <col min="20" max="20" width="15.83203125" bestFit="1" customWidth="1"/>
    <col min="21" max="21" width="4.83203125" bestFit="1" customWidth="1"/>
    <col min="22" max="22" width="15.83203125" bestFit="1" customWidth="1"/>
    <col min="23" max="23" width="8.83203125" bestFit="1" customWidth="1"/>
    <col min="24" max="24" width="11.33203125" customWidth="1"/>
    <col min="25" max="25" width="10.83203125" bestFit="1" customWidth="1"/>
    <col min="26" max="26" width="11.1640625" bestFit="1" customWidth="1"/>
    <col min="27" max="27" width="7.83203125" bestFit="1" customWidth="1"/>
  </cols>
  <sheetData>
    <row r="1" spans="1:52" ht="32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15">
      <c r="A2" s="7">
        <v>4</v>
      </c>
      <c r="B2" s="7" t="s">
        <v>51</v>
      </c>
      <c r="C2" s="8">
        <v>45419</v>
      </c>
      <c r="D2" s="7" t="s">
        <v>52</v>
      </c>
      <c r="E2" s="7" t="s">
        <v>53</v>
      </c>
      <c r="F2" s="23" t="s">
        <v>54</v>
      </c>
      <c r="G2" s="7" t="s">
        <v>55</v>
      </c>
      <c r="H2" s="9">
        <v>0</v>
      </c>
      <c r="I2" s="9">
        <v>0</v>
      </c>
      <c r="J2" s="9">
        <v>27500</v>
      </c>
      <c r="K2" s="9">
        <v>11000</v>
      </c>
      <c r="L2" s="9">
        <v>200</v>
      </c>
      <c r="M2" s="9">
        <v>1600</v>
      </c>
      <c r="N2" s="9">
        <v>2200</v>
      </c>
      <c r="O2" s="9">
        <v>8250</v>
      </c>
      <c r="P2" s="9">
        <v>3497</v>
      </c>
      <c r="Q2" s="9">
        <v>3300</v>
      </c>
      <c r="R2" s="9">
        <v>0</v>
      </c>
      <c r="S2" s="9">
        <v>0</v>
      </c>
      <c r="T2" s="9">
        <v>0</v>
      </c>
      <c r="U2" s="9">
        <v>0</v>
      </c>
      <c r="V2" s="16" t="s">
        <v>111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5">
      <c r="A3" s="17">
        <v>9</v>
      </c>
      <c r="B3" s="17" t="s">
        <v>112</v>
      </c>
      <c r="C3" s="8">
        <v>46146</v>
      </c>
      <c r="D3" s="16" t="s">
        <v>113</v>
      </c>
      <c r="E3" s="16" t="s">
        <v>116</v>
      </c>
      <c r="F3" s="23" t="s">
        <v>114</v>
      </c>
      <c r="G3" s="16" t="s">
        <v>115</v>
      </c>
      <c r="H3" s="16">
        <v>6</v>
      </c>
      <c r="I3" s="16">
        <v>2</v>
      </c>
      <c r="J3" s="9">
        <v>20000</v>
      </c>
      <c r="K3" s="16">
        <v>8000</v>
      </c>
      <c r="L3" s="16">
        <v>200</v>
      </c>
      <c r="M3" s="16">
        <v>1600</v>
      </c>
      <c r="N3" s="16">
        <v>2000</v>
      </c>
      <c r="O3" s="16">
        <v>11000</v>
      </c>
      <c r="P3" s="16">
        <v>3179</v>
      </c>
      <c r="Q3" s="16">
        <v>2400</v>
      </c>
      <c r="R3" s="16">
        <v>12000</v>
      </c>
      <c r="S3" s="16">
        <v>0</v>
      </c>
      <c r="T3" s="16">
        <v>200</v>
      </c>
      <c r="U3" s="16">
        <v>0</v>
      </c>
      <c r="V3" s="16" t="s">
        <v>56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>
      <c r="A4" s="7"/>
      <c r="B4" s="7"/>
      <c r="C4" s="8"/>
      <c r="D4" s="7"/>
      <c r="E4" s="7"/>
      <c r="F4" s="23"/>
      <c r="G4" s="7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7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>
      <c r="A5" s="7"/>
      <c r="B5" s="7"/>
      <c r="C5" s="8"/>
      <c r="D5" s="7"/>
      <c r="E5" s="7"/>
      <c r="F5" s="23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7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7"/>
      <c r="B6" s="7"/>
      <c r="C6" s="8"/>
      <c r="D6" s="7"/>
      <c r="E6" s="7"/>
      <c r="F6" s="23"/>
      <c r="G6" s="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7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>
      <c r="A7" s="7"/>
      <c r="B7" s="7"/>
      <c r="C7" s="8"/>
      <c r="D7" s="7"/>
      <c r="E7" s="7"/>
      <c r="F7" s="23"/>
      <c r="G7" s="7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7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>
      <c r="A8" s="7"/>
      <c r="B8" s="7"/>
      <c r="C8" s="8"/>
      <c r="D8" s="7"/>
      <c r="E8" s="7"/>
      <c r="F8" s="23"/>
      <c r="G8" s="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/>
      <c r="B9" s="7"/>
      <c r="C9" s="8"/>
      <c r="D9" s="7"/>
      <c r="E9" s="7"/>
      <c r="F9" s="23"/>
      <c r="G9" s="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7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/>
      <c r="B10" s="7"/>
      <c r="C10" s="8"/>
      <c r="D10" s="7"/>
      <c r="E10" s="7"/>
      <c r="F10" s="23"/>
      <c r="G10" s="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7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7"/>
      <c r="B11" s="7"/>
      <c r="C11" s="8"/>
      <c r="D11" s="7"/>
      <c r="E11" s="7"/>
      <c r="F11" s="23"/>
      <c r="G11" s="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7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>
      <c r="A12" s="7"/>
      <c r="B12" s="7"/>
      <c r="C12" s="8"/>
      <c r="D12" s="7"/>
      <c r="E12" s="7"/>
      <c r="F12" s="23"/>
      <c r="G12" s="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7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>
      <c r="A13" s="7"/>
      <c r="B13" s="7"/>
      <c r="C13" s="8"/>
      <c r="D13" s="7"/>
      <c r="E13" s="7"/>
      <c r="F13" s="23"/>
      <c r="G13" s="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7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>
      <c r="A14" s="7"/>
      <c r="B14" s="7"/>
      <c r="C14" s="8"/>
      <c r="D14" s="7"/>
      <c r="E14" s="7"/>
      <c r="F14" s="23"/>
      <c r="G14" s="7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7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7"/>
      <c r="B15" s="7"/>
      <c r="C15" s="8"/>
      <c r="D15" s="7"/>
      <c r="E15" s="7"/>
      <c r="F15" s="23"/>
      <c r="G15" s="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7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7"/>
      <c r="B16" s="7"/>
      <c r="C16" s="8"/>
      <c r="D16" s="7"/>
      <c r="E16" s="7"/>
      <c r="F16" s="23"/>
      <c r="G16" s="7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7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7"/>
      <c r="B17" s="7"/>
      <c r="C17" s="8"/>
      <c r="D17" s="7"/>
      <c r="E17" s="7"/>
      <c r="F17" s="23"/>
      <c r="G17" s="7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7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7"/>
      <c r="B18" s="7"/>
      <c r="C18" s="8"/>
      <c r="D18" s="7"/>
      <c r="E18" s="7"/>
      <c r="F18" s="23"/>
      <c r="G18" s="7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7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7"/>
      <c r="B19" s="7"/>
      <c r="C19" s="8"/>
      <c r="D19" s="7"/>
      <c r="E19" s="7"/>
      <c r="F19" s="23"/>
      <c r="G19" s="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7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7"/>
      <c r="B20" s="7"/>
      <c r="C20" s="8"/>
      <c r="D20" s="7"/>
      <c r="E20" s="7"/>
      <c r="F20" s="23"/>
      <c r="G20" s="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7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4"/>
      <c r="B21" s="4"/>
      <c r="C21" s="4"/>
      <c r="D21" s="4"/>
      <c r="E21" s="4"/>
      <c r="F21" s="2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4"/>
      <c r="B22" s="4"/>
      <c r="C22" s="4"/>
      <c r="D22" s="4"/>
      <c r="E22" s="4"/>
      <c r="F22" s="2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4"/>
      <c r="B23" s="4"/>
      <c r="C23" s="4"/>
      <c r="D23" s="4"/>
      <c r="E23" s="4"/>
      <c r="F23" s="2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4"/>
      <c r="B24" s="4"/>
      <c r="C24" s="4"/>
      <c r="D24" s="4"/>
      <c r="E24" s="4"/>
      <c r="F24" s="2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4"/>
      <c r="B25" s="4"/>
      <c r="C25" s="4"/>
      <c r="D25" s="4"/>
      <c r="E25" s="4"/>
      <c r="F25" s="2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4"/>
      <c r="B26" s="4"/>
      <c r="C26" s="4"/>
      <c r="D26" s="4"/>
      <c r="E26" s="4"/>
      <c r="F26" s="2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4"/>
      <c r="B27" s="4"/>
      <c r="C27" s="4"/>
      <c r="D27" s="4"/>
      <c r="E27" s="4"/>
      <c r="F27" s="2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2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</sheetData>
  <dataValidations count="1">
    <dataValidation type="list" sqref="V2:V3" xr:uid="{38DC171B-5F45-D843-9B86-2F676A55A41E}">
      <formula1>"Yes,No"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60"/>
  <sheetViews>
    <sheetView topLeftCell="L1" workbookViewId="0">
      <selection activeCell="AH4" sqref="AH4"/>
    </sheetView>
  </sheetViews>
  <sheetFormatPr baseColWidth="10" defaultColWidth="8.83203125" defaultRowHeight="14"/>
  <cols>
    <col min="1" max="1" width="10" customWidth="1"/>
    <col min="2" max="2" width="26" customWidth="1"/>
    <col min="3" max="3" width="28" customWidth="1"/>
    <col min="4" max="34" width="10" customWidth="1"/>
    <col min="35" max="41" width="14" customWidth="1"/>
  </cols>
  <sheetData>
    <row r="1" spans="1:52" ht="32">
      <c r="A1" s="2" t="s">
        <v>29</v>
      </c>
      <c r="B1" s="2" t="s">
        <v>30</v>
      </c>
      <c r="C1" s="2" t="s">
        <v>32</v>
      </c>
      <c r="D1" s="3">
        <f>IF(MONTH(Settings!$B$4+0)=MONTH(Settings!$B$4),Settings!$B$4+0,"")</f>
        <v>46204</v>
      </c>
      <c r="E1" s="3">
        <f>IF(MONTH(Settings!$B$4+1)=MONTH(Settings!$B$4),Settings!$B$4+1,"")</f>
        <v>46205</v>
      </c>
      <c r="F1" s="3">
        <f>IF(MONTH(Settings!$B$4+2)=MONTH(Settings!$B$4),Settings!$B$4+2,"")</f>
        <v>46206</v>
      </c>
      <c r="G1" s="3">
        <f>IF(MONTH(Settings!$B$4+3)=MONTH(Settings!$B$4),Settings!$B$4+3,"")</f>
        <v>46207</v>
      </c>
      <c r="H1" s="3">
        <f>IF(MONTH(Settings!$B$4+4)=MONTH(Settings!$B$4),Settings!$B$4+4,"")</f>
        <v>46208</v>
      </c>
      <c r="I1" s="3">
        <f>IF(MONTH(Settings!$B$4+5)=MONTH(Settings!$B$4),Settings!$B$4+5,"")</f>
        <v>46209</v>
      </c>
      <c r="J1" s="3">
        <f>IF(MONTH(Settings!$B$4+6)=MONTH(Settings!$B$4),Settings!$B$4+6,"")</f>
        <v>46210</v>
      </c>
      <c r="K1" s="3">
        <f>IF(MONTH(Settings!$B$4+7)=MONTH(Settings!$B$4),Settings!$B$4+7,"")</f>
        <v>46211</v>
      </c>
      <c r="L1" s="3">
        <f>IF(MONTH(Settings!$B$4+8)=MONTH(Settings!$B$4),Settings!$B$4+8,"")</f>
        <v>46212</v>
      </c>
      <c r="M1" s="3">
        <f>IF(MONTH(Settings!$B$4+9)=MONTH(Settings!$B$4),Settings!$B$4+9,"")</f>
        <v>46213</v>
      </c>
      <c r="N1" s="3">
        <f>IF(MONTH(Settings!$B$4+10)=MONTH(Settings!$B$4),Settings!$B$4+10,"")</f>
        <v>46214</v>
      </c>
      <c r="O1" s="3">
        <f>IF(MONTH(Settings!$B$4+11)=MONTH(Settings!$B$4),Settings!$B$4+11,"")</f>
        <v>46215</v>
      </c>
      <c r="P1" s="3">
        <f>IF(MONTH(Settings!$B$4+12)=MONTH(Settings!$B$4),Settings!$B$4+12,"")</f>
        <v>46216</v>
      </c>
      <c r="Q1" s="3">
        <f>IF(MONTH(Settings!$B$4+13)=MONTH(Settings!$B$4),Settings!$B$4+13,"")</f>
        <v>46217</v>
      </c>
      <c r="R1" s="3">
        <f>IF(MONTH(Settings!$B$4+14)=MONTH(Settings!$B$4),Settings!$B$4+14,"")</f>
        <v>46218</v>
      </c>
      <c r="S1" s="3">
        <f>IF(MONTH(Settings!$B$4+15)=MONTH(Settings!$B$4),Settings!$B$4+15,"")</f>
        <v>46219</v>
      </c>
      <c r="T1" s="3">
        <f>IF(MONTH(Settings!$B$4+16)=MONTH(Settings!$B$4),Settings!$B$4+16,"")</f>
        <v>46220</v>
      </c>
      <c r="U1" s="3">
        <f>IF(MONTH(Settings!$B$4+17)=MONTH(Settings!$B$4),Settings!$B$4+17,"")</f>
        <v>46221</v>
      </c>
      <c r="V1" s="3">
        <f>IF(MONTH(Settings!$B$4+18)=MONTH(Settings!$B$4),Settings!$B$4+18,"")</f>
        <v>46222</v>
      </c>
      <c r="W1" s="3">
        <f>IF(MONTH(Settings!$B$4+19)=MONTH(Settings!$B$4),Settings!$B$4+19,"")</f>
        <v>46223</v>
      </c>
      <c r="X1" s="3">
        <f>IF(MONTH(Settings!$B$4+20)=MONTH(Settings!$B$4),Settings!$B$4+20,"")</f>
        <v>46224</v>
      </c>
      <c r="Y1" s="3">
        <f>IF(MONTH(Settings!$B$4+21)=MONTH(Settings!$B$4),Settings!$B$4+21,"")</f>
        <v>46225</v>
      </c>
      <c r="Z1" s="3">
        <f>IF(MONTH(Settings!$B$4+22)=MONTH(Settings!$B$4),Settings!$B$4+22,"")</f>
        <v>46226</v>
      </c>
      <c r="AA1" s="3">
        <f>IF(MONTH(Settings!$B$4+23)=MONTH(Settings!$B$4),Settings!$B$4+23,"")</f>
        <v>46227</v>
      </c>
      <c r="AB1" s="3">
        <f>IF(MONTH(Settings!$B$4+24)=MONTH(Settings!$B$4),Settings!$B$4+24,"")</f>
        <v>46228</v>
      </c>
      <c r="AC1" s="3">
        <f>IF(MONTH(Settings!$B$4+25)=MONTH(Settings!$B$4),Settings!$B$4+25,"")</f>
        <v>46229</v>
      </c>
      <c r="AD1" s="3">
        <f>IF(MONTH(Settings!$B$4+26)=MONTH(Settings!$B$4),Settings!$B$4+26,"")</f>
        <v>46230</v>
      </c>
      <c r="AE1" s="3">
        <f>IF(MONTH(Settings!$B$4+27)=MONTH(Settings!$B$4),Settings!$B$4+27,"")</f>
        <v>46231</v>
      </c>
      <c r="AF1" s="3">
        <f>IF(MONTH(Settings!$B$4+28)=MONTH(Settings!$B$4),Settings!$B$4+28,"")</f>
        <v>46232</v>
      </c>
      <c r="AG1" s="3">
        <f>IF(MONTH(Settings!$B$4+29)=MONTH(Settings!$B$4),Settings!$B$4+29,"")</f>
        <v>46233</v>
      </c>
      <c r="AH1" s="3">
        <f>IF(MONTH(Settings!$B$4+30)=MONTH(Settings!$B$4),Settings!$B$4+30,"")</f>
        <v>46234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>
      <c r="A2" s="7">
        <f>IF(Employee_Master!A2="","",Employee_Master!A2)</f>
        <v>4</v>
      </c>
      <c r="B2" s="7" t="str">
        <f>IF(Employee_Master!B2="","",Employee_Master!B2)</f>
        <v>Sumit Sunil Chirmade</v>
      </c>
      <c r="C2" s="7" t="str">
        <f>IF(Employee_Master!D2="","",Employee_Master!D2)</f>
        <v>Assistant Manager - NPD &amp; Purchase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  <c r="L2" s="5" t="s">
        <v>9</v>
      </c>
      <c r="M2" s="5" t="s">
        <v>9</v>
      </c>
      <c r="N2" s="5" t="s">
        <v>9</v>
      </c>
      <c r="O2" s="5" t="s">
        <v>9</v>
      </c>
      <c r="P2" s="5" t="s">
        <v>9</v>
      </c>
      <c r="Q2" s="5" t="s">
        <v>9</v>
      </c>
      <c r="R2" s="5" t="s">
        <v>9</v>
      </c>
      <c r="S2" s="5" t="s">
        <v>9</v>
      </c>
      <c r="T2" s="5" t="s">
        <v>9</v>
      </c>
      <c r="U2" s="5" t="s">
        <v>9</v>
      </c>
      <c r="V2" s="5" t="s">
        <v>9</v>
      </c>
      <c r="W2" s="5" t="s">
        <v>9</v>
      </c>
      <c r="X2" s="5" t="s">
        <v>9</v>
      </c>
      <c r="Y2" s="5" t="s">
        <v>9</v>
      </c>
      <c r="Z2" s="5" t="s">
        <v>9</v>
      </c>
      <c r="AA2" s="5" t="s">
        <v>9</v>
      </c>
      <c r="AB2" s="5" t="s">
        <v>9</v>
      </c>
      <c r="AC2" s="5" t="s">
        <v>9</v>
      </c>
      <c r="AD2" s="5" t="s">
        <v>9</v>
      </c>
      <c r="AE2" s="5" t="s">
        <v>9</v>
      </c>
      <c r="AF2" s="5" t="s">
        <v>9</v>
      </c>
      <c r="AG2" s="5" t="s">
        <v>9</v>
      </c>
      <c r="AH2" s="5"/>
      <c r="AI2" s="7">
        <f t="shared" ref="AI2:AI21" si="0">IF($A2="","",COUNTIF(D2:AH2,"P") + 0.5*COUNTIF(D2:AH2,"HD"))</f>
        <v>0</v>
      </c>
      <c r="AJ2" s="7">
        <f t="shared" ref="AJ2:AJ21" si="1">IF($A2="","",COUNTIF(D2:AH2,"CL"))</f>
        <v>0</v>
      </c>
      <c r="AK2" s="7">
        <f t="shared" ref="AK2:AK21" si="2">IF($A2="","",COUNTIF(D2:AH2,"EL"))</f>
        <v>0</v>
      </c>
      <c r="AL2" s="7">
        <f t="shared" ref="AL2:AL21" si="3">IF($A2="","",COUNTIF(D2:AH2,"H")+COUNTIF(D2:AH2,"WO"))</f>
        <v>0</v>
      </c>
      <c r="AM2" s="7">
        <f t="shared" ref="AM2:AM21" si="4">IF($A2="","",COUNTIF(D2:AH2,"HD"))</f>
        <v>0</v>
      </c>
      <c r="AN2" s="7">
        <f t="shared" ref="AN2:AN21" si="5">IF($A2="","",COUNTIF(D2:AH2,"A")+COUNTIF(D2:AH2,"LWP"))</f>
        <v>30</v>
      </c>
      <c r="AO2" s="7">
        <f t="shared" ref="AO2:AO21" si="6">IF($A2="","",AI2+AJ2+AK2+AL2)</f>
        <v>0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>
      <c r="A3" s="7" t="e">
        <f>IF(Employee_Master!#REF!="","",Employee_Master!#REF!)</f>
        <v>#REF!</v>
      </c>
      <c r="B3" s="7" t="e">
        <f>IF(Employee_Master!#REF!="","",Employee_Master!#REF!)</f>
        <v>#REF!</v>
      </c>
      <c r="C3" s="7" t="e">
        <f>IF(Employee_Master!#REF!="","",Employee_Master!#REF!)</f>
        <v>#REF!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5" t="s">
        <v>6</v>
      </c>
      <c r="W3" s="5" t="s">
        <v>6</v>
      </c>
      <c r="X3" s="5" t="s">
        <v>6</v>
      </c>
      <c r="Y3" s="5" t="s">
        <v>6</v>
      </c>
      <c r="Z3" s="5" t="s">
        <v>6</v>
      </c>
      <c r="AA3" s="5" t="s">
        <v>6</v>
      </c>
      <c r="AB3" s="5" t="s">
        <v>6</v>
      </c>
      <c r="AC3" s="5" t="s">
        <v>6</v>
      </c>
      <c r="AD3" s="5" t="s">
        <v>6</v>
      </c>
      <c r="AE3" s="5" t="s">
        <v>6</v>
      </c>
      <c r="AF3" s="5" t="s">
        <v>6</v>
      </c>
      <c r="AG3" s="5" t="s">
        <v>6</v>
      </c>
      <c r="AH3" s="5" t="s">
        <v>6</v>
      </c>
      <c r="AI3" s="7" t="e">
        <f t="shared" si="0"/>
        <v>#REF!</v>
      </c>
      <c r="AJ3" s="7" t="e">
        <f t="shared" si="1"/>
        <v>#REF!</v>
      </c>
      <c r="AK3" s="7" t="e">
        <f t="shared" si="2"/>
        <v>#REF!</v>
      </c>
      <c r="AL3" s="7" t="e">
        <f t="shared" si="3"/>
        <v>#REF!</v>
      </c>
      <c r="AM3" s="7" t="e">
        <f t="shared" si="4"/>
        <v>#REF!</v>
      </c>
      <c r="AN3" s="7" t="e">
        <f t="shared" si="5"/>
        <v>#REF!</v>
      </c>
      <c r="AO3" s="7" t="e">
        <f t="shared" si="6"/>
        <v>#REF!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>
      <c r="A4" s="7" t="e">
        <f>IF(Employee_Master!#REF!="","",Employee_Master!#REF!)</f>
        <v>#REF!</v>
      </c>
      <c r="B4" s="7" t="e">
        <f>IF(Employee_Master!#REF!="","",Employee_Master!#REF!)</f>
        <v>#REF!</v>
      </c>
      <c r="C4" s="7" t="e">
        <f>IF(Employee_Master!#REF!="","",Employee_Master!#REF!)</f>
        <v>#REF!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  <c r="K4" s="5" t="s">
        <v>6</v>
      </c>
      <c r="L4" s="5" t="s">
        <v>6</v>
      </c>
      <c r="M4" s="5" t="s">
        <v>12</v>
      </c>
      <c r="N4" s="5" t="s">
        <v>6</v>
      </c>
      <c r="O4" s="5" t="s">
        <v>6</v>
      </c>
      <c r="P4" s="5" t="s">
        <v>6</v>
      </c>
      <c r="Q4" s="5" t="s">
        <v>6</v>
      </c>
      <c r="R4" s="5" t="s">
        <v>6</v>
      </c>
      <c r="S4" s="5" t="s">
        <v>6</v>
      </c>
      <c r="T4" s="5" t="s">
        <v>6</v>
      </c>
      <c r="U4" s="5" t="s">
        <v>6</v>
      </c>
      <c r="V4" s="5" t="s">
        <v>6</v>
      </c>
      <c r="W4" s="5" t="s">
        <v>6</v>
      </c>
      <c r="X4" s="5" t="s">
        <v>6</v>
      </c>
      <c r="Y4" s="5" t="s">
        <v>6</v>
      </c>
      <c r="Z4" s="5" t="s">
        <v>6</v>
      </c>
      <c r="AA4" s="5" t="s">
        <v>6</v>
      </c>
      <c r="AB4" s="5" t="s">
        <v>6</v>
      </c>
      <c r="AC4" s="5" t="s">
        <v>6</v>
      </c>
      <c r="AD4" s="5" t="s">
        <v>6</v>
      </c>
      <c r="AE4" s="5" t="s">
        <v>6</v>
      </c>
      <c r="AF4" s="5" t="s">
        <v>6</v>
      </c>
      <c r="AG4" s="5" t="s">
        <v>6</v>
      </c>
      <c r="AH4" s="5" t="s">
        <v>6</v>
      </c>
      <c r="AI4" s="7" t="e">
        <f t="shared" si="0"/>
        <v>#REF!</v>
      </c>
      <c r="AJ4" s="7" t="e">
        <f t="shared" si="1"/>
        <v>#REF!</v>
      </c>
      <c r="AK4" s="7" t="e">
        <f t="shared" si="2"/>
        <v>#REF!</v>
      </c>
      <c r="AL4" s="7" t="e">
        <f t="shared" si="3"/>
        <v>#REF!</v>
      </c>
      <c r="AM4" s="7" t="e">
        <f t="shared" si="4"/>
        <v>#REF!</v>
      </c>
      <c r="AN4" s="7" t="e">
        <f t="shared" si="5"/>
        <v>#REF!</v>
      </c>
      <c r="AO4" s="7" t="e">
        <f t="shared" si="6"/>
        <v>#REF!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>
      <c r="A5" s="7" t="e">
        <f>IF(Employee_Master!#REF!="","",Employee_Master!#REF!)</f>
        <v>#REF!</v>
      </c>
      <c r="B5" s="7" t="e">
        <f>IF(Employee_Master!#REF!="","",Employee_Master!#REF!)</f>
        <v>#REF!</v>
      </c>
      <c r="C5" s="7" t="e">
        <f>IF(Employee_Master!#REF!="","",Employee_Master!#REF!)</f>
        <v>#REF!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6</v>
      </c>
      <c r="N5" s="5" t="s">
        <v>6</v>
      </c>
      <c r="O5" s="5" t="s">
        <v>6</v>
      </c>
      <c r="P5" s="5" t="s">
        <v>6</v>
      </c>
      <c r="Q5" s="5" t="s">
        <v>6</v>
      </c>
      <c r="R5" s="5" t="s">
        <v>6</v>
      </c>
      <c r="S5" s="5" t="s">
        <v>6</v>
      </c>
      <c r="T5" s="5" t="s">
        <v>6</v>
      </c>
      <c r="U5" s="5" t="s">
        <v>6</v>
      </c>
      <c r="V5" s="5" t="s">
        <v>6</v>
      </c>
      <c r="W5" s="5" t="s">
        <v>6</v>
      </c>
      <c r="X5" s="5" t="s">
        <v>6</v>
      </c>
      <c r="Y5" s="5" t="s">
        <v>6</v>
      </c>
      <c r="Z5" s="5" t="s">
        <v>6</v>
      </c>
      <c r="AA5" s="5" t="s">
        <v>6</v>
      </c>
      <c r="AB5" s="5" t="s">
        <v>6</v>
      </c>
      <c r="AC5" s="5" t="s">
        <v>6</v>
      </c>
      <c r="AD5" s="5" t="s">
        <v>6</v>
      </c>
      <c r="AE5" s="5" t="s">
        <v>6</v>
      </c>
      <c r="AF5" s="5" t="s">
        <v>6</v>
      </c>
      <c r="AG5" s="5" t="s">
        <v>6</v>
      </c>
      <c r="AH5" s="5" t="s">
        <v>6</v>
      </c>
      <c r="AI5" s="7" t="e">
        <f t="shared" si="0"/>
        <v>#REF!</v>
      </c>
      <c r="AJ5" s="7" t="e">
        <f t="shared" si="1"/>
        <v>#REF!</v>
      </c>
      <c r="AK5" s="7" t="e">
        <f t="shared" si="2"/>
        <v>#REF!</v>
      </c>
      <c r="AL5" s="7" t="e">
        <f t="shared" si="3"/>
        <v>#REF!</v>
      </c>
      <c r="AM5" s="7" t="e">
        <f t="shared" si="4"/>
        <v>#REF!</v>
      </c>
      <c r="AN5" s="7" t="e">
        <f t="shared" si="5"/>
        <v>#REF!</v>
      </c>
      <c r="AO5" s="7" t="e">
        <f t="shared" si="6"/>
        <v>#REF!</v>
      </c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7">
        <f>IF(Employee_Master!A3="","",Employee_Master!A3)</f>
        <v>9</v>
      </c>
      <c r="B6" s="7" t="str">
        <f>IF(Employee_Master!B3="","",Employee_Master!B3)</f>
        <v>Mahesh Swami</v>
      </c>
      <c r="C6" s="7" t="str">
        <f>IF(Employee_Master!D3="","",Employee_Master!D3)</f>
        <v>Asst Manager Purchase &amp; NPD</v>
      </c>
      <c r="D6" s="5" t="s">
        <v>6</v>
      </c>
      <c r="E6" s="5" t="s">
        <v>6</v>
      </c>
      <c r="F6" s="5" t="s">
        <v>6</v>
      </c>
      <c r="G6" s="5" t="s">
        <v>6</v>
      </c>
      <c r="H6" s="5" t="s">
        <v>6</v>
      </c>
      <c r="I6" s="5" t="s">
        <v>6</v>
      </c>
      <c r="J6" s="5" t="s">
        <v>6</v>
      </c>
      <c r="K6" s="5" t="s">
        <v>6</v>
      </c>
      <c r="L6" s="5" t="s">
        <v>6</v>
      </c>
      <c r="M6" s="5" t="s">
        <v>6</v>
      </c>
      <c r="N6" s="5" t="s">
        <v>6</v>
      </c>
      <c r="O6" s="5" t="s">
        <v>6</v>
      </c>
      <c r="P6" s="5" t="s">
        <v>6</v>
      </c>
      <c r="Q6" s="5" t="s">
        <v>6</v>
      </c>
      <c r="R6" s="5" t="s">
        <v>6</v>
      </c>
      <c r="S6" s="5" t="s">
        <v>6</v>
      </c>
      <c r="T6" s="5" t="s">
        <v>6</v>
      </c>
      <c r="U6" s="5" t="s">
        <v>6</v>
      </c>
      <c r="V6" s="5" t="s">
        <v>6</v>
      </c>
      <c r="W6" s="5" t="s">
        <v>6</v>
      </c>
      <c r="X6" s="5" t="s">
        <v>6</v>
      </c>
      <c r="Y6" s="5" t="s">
        <v>6</v>
      </c>
      <c r="Z6" s="5" t="s">
        <v>6</v>
      </c>
      <c r="AA6" s="5" t="s">
        <v>6</v>
      </c>
      <c r="AB6" s="5" t="s">
        <v>6</v>
      </c>
      <c r="AC6" s="5" t="s">
        <v>6</v>
      </c>
      <c r="AD6" s="5" t="s">
        <v>6</v>
      </c>
      <c r="AE6" s="5" t="s">
        <v>6</v>
      </c>
      <c r="AF6" s="5" t="s">
        <v>6</v>
      </c>
      <c r="AG6" s="5" t="s">
        <v>6</v>
      </c>
      <c r="AH6" s="5" t="s">
        <v>6</v>
      </c>
      <c r="AI6" s="7">
        <f t="shared" si="0"/>
        <v>31</v>
      </c>
      <c r="AJ6" s="7">
        <f t="shared" si="1"/>
        <v>0</v>
      </c>
      <c r="AK6" s="7">
        <f t="shared" si="2"/>
        <v>0</v>
      </c>
      <c r="AL6" s="7">
        <f t="shared" si="3"/>
        <v>0</v>
      </c>
      <c r="AM6" s="7">
        <f t="shared" si="4"/>
        <v>0</v>
      </c>
      <c r="AN6" s="7">
        <f t="shared" si="5"/>
        <v>0</v>
      </c>
      <c r="AO6" s="7">
        <f t="shared" si="6"/>
        <v>31</v>
      </c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>
      <c r="A7" s="7" t="e">
        <f>IF(Employee_Master!#REF!="","",Employee_Master!#REF!)</f>
        <v>#REF!</v>
      </c>
      <c r="B7" s="7" t="e">
        <f>IF(Employee_Master!#REF!="","",Employee_Master!#REF!)</f>
        <v>#REF!</v>
      </c>
      <c r="C7" s="7" t="e">
        <f>IF(Employee_Master!#REF!="","",Employee_Master!#REF!)</f>
        <v>#REF!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6</v>
      </c>
      <c r="L7" s="5" t="s">
        <v>6</v>
      </c>
      <c r="M7" s="5" t="s">
        <v>6</v>
      </c>
      <c r="N7" s="5" t="s">
        <v>6</v>
      </c>
      <c r="O7" s="5" t="s">
        <v>6</v>
      </c>
      <c r="P7" s="5" t="s">
        <v>6</v>
      </c>
      <c r="Q7" s="5" t="s">
        <v>6</v>
      </c>
      <c r="R7" s="5" t="s">
        <v>6</v>
      </c>
      <c r="S7" s="5" t="s">
        <v>6</v>
      </c>
      <c r="T7" s="5" t="s">
        <v>6</v>
      </c>
      <c r="U7" s="5" t="s">
        <v>6</v>
      </c>
      <c r="V7" s="5" t="s">
        <v>6</v>
      </c>
      <c r="W7" s="5" t="s">
        <v>6</v>
      </c>
      <c r="X7" s="5" t="s">
        <v>6</v>
      </c>
      <c r="Y7" s="5" t="s">
        <v>6</v>
      </c>
      <c r="Z7" s="5" t="s">
        <v>6</v>
      </c>
      <c r="AA7" s="5" t="s">
        <v>6</v>
      </c>
      <c r="AB7" s="5" t="s">
        <v>6</v>
      </c>
      <c r="AC7" s="5" t="s">
        <v>6</v>
      </c>
      <c r="AD7" s="5" t="s">
        <v>6</v>
      </c>
      <c r="AE7" s="5" t="s">
        <v>6</v>
      </c>
      <c r="AF7" s="5" t="s">
        <v>6</v>
      </c>
      <c r="AG7" s="5" t="s">
        <v>6</v>
      </c>
      <c r="AH7" s="5" t="s">
        <v>6</v>
      </c>
      <c r="AI7" s="7" t="e">
        <f t="shared" si="0"/>
        <v>#REF!</v>
      </c>
      <c r="AJ7" s="7" t="e">
        <f t="shared" si="1"/>
        <v>#REF!</v>
      </c>
      <c r="AK7" s="7" t="e">
        <f t="shared" si="2"/>
        <v>#REF!</v>
      </c>
      <c r="AL7" s="7" t="e">
        <f t="shared" si="3"/>
        <v>#REF!</v>
      </c>
      <c r="AM7" s="7" t="e">
        <f t="shared" si="4"/>
        <v>#REF!</v>
      </c>
      <c r="AN7" s="7" t="e">
        <f t="shared" si="5"/>
        <v>#REF!</v>
      </c>
      <c r="AO7" s="7" t="e">
        <f t="shared" si="6"/>
        <v>#REF!</v>
      </c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>
      <c r="A8" s="7" t="e">
        <f>IF(Employee_Master!#REF!="","",Employee_Master!#REF!)</f>
        <v>#REF!</v>
      </c>
      <c r="B8" s="7" t="e">
        <f>IF(Employee_Master!#REF!="","",Employee_Master!#REF!)</f>
        <v>#REF!</v>
      </c>
      <c r="C8" s="7" t="e">
        <f>IF(Employee_Master!#REF!="","",Employee_Master!#REF!)</f>
        <v>#REF!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6</v>
      </c>
      <c r="L8" s="5" t="s">
        <v>6</v>
      </c>
      <c r="M8" s="5" t="s">
        <v>6</v>
      </c>
      <c r="N8" s="5" t="s">
        <v>6</v>
      </c>
      <c r="O8" s="5" t="s">
        <v>6</v>
      </c>
      <c r="P8" s="5" t="s">
        <v>6</v>
      </c>
      <c r="Q8" s="5" t="s">
        <v>6</v>
      </c>
      <c r="R8" s="5" t="s">
        <v>6</v>
      </c>
      <c r="S8" s="5" t="s">
        <v>6</v>
      </c>
      <c r="T8" s="5" t="s">
        <v>6</v>
      </c>
      <c r="U8" s="5" t="s">
        <v>6</v>
      </c>
      <c r="V8" s="5" t="s">
        <v>6</v>
      </c>
      <c r="W8" s="5" t="s">
        <v>6</v>
      </c>
      <c r="X8" s="5" t="s">
        <v>6</v>
      </c>
      <c r="Y8" s="5" t="s">
        <v>6</v>
      </c>
      <c r="Z8" s="5" t="s">
        <v>6</v>
      </c>
      <c r="AA8" s="5" t="s">
        <v>6</v>
      </c>
      <c r="AB8" s="5" t="s">
        <v>6</v>
      </c>
      <c r="AC8" s="5" t="s">
        <v>6</v>
      </c>
      <c r="AD8" s="5" t="s">
        <v>6</v>
      </c>
      <c r="AE8" s="5" t="s">
        <v>6</v>
      </c>
      <c r="AF8" s="5" t="s">
        <v>6</v>
      </c>
      <c r="AG8" s="5" t="s">
        <v>6</v>
      </c>
      <c r="AH8" s="5" t="s">
        <v>6</v>
      </c>
      <c r="AI8" s="7" t="e">
        <f t="shared" si="0"/>
        <v>#REF!</v>
      </c>
      <c r="AJ8" s="7" t="e">
        <f t="shared" si="1"/>
        <v>#REF!</v>
      </c>
      <c r="AK8" s="7" t="e">
        <f t="shared" si="2"/>
        <v>#REF!</v>
      </c>
      <c r="AL8" s="7" t="e">
        <f t="shared" si="3"/>
        <v>#REF!</v>
      </c>
      <c r="AM8" s="7" t="e">
        <f t="shared" si="4"/>
        <v>#REF!</v>
      </c>
      <c r="AN8" s="7" t="e">
        <f t="shared" si="5"/>
        <v>#REF!</v>
      </c>
      <c r="AO8" s="7" t="e">
        <f t="shared" si="6"/>
        <v>#REF!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7" t="e">
        <f>IF(Employee_Master!#REF!="","",Employee_Master!#REF!)</f>
        <v>#REF!</v>
      </c>
      <c r="B9" s="7" t="e">
        <f>IF(Employee_Master!#REF!="","",Employee_Master!#REF!)</f>
        <v>#REF!</v>
      </c>
      <c r="C9" s="7" t="e">
        <f>IF(Employee_Master!#REF!="","",Employee_Master!#REF!)</f>
        <v>#REF!</v>
      </c>
      <c r="D9" s="5" t="s">
        <v>6</v>
      </c>
      <c r="E9" s="5" t="s">
        <v>6</v>
      </c>
      <c r="F9" s="5" t="s">
        <v>6</v>
      </c>
      <c r="G9" s="5" t="s">
        <v>6</v>
      </c>
      <c r="H9" s="5" t="s">
        <v>6</v>
      </c>
      <c r="I9" s="5" t="s">
        <v>6</v>
      </c>
      <c r="J9" s="5" t="s">
        <v>6</v>
      </c>
      <c r="K9" s="5" t="s">
        <v>6</v>
      </c>
      <c r="L9" s="5" t="s">
        <v>6</v>
      </c>
      <c r="M9" s="5" t="s">
        <v>6</v>
      </c>
      <c r="N9" s="5" t="s">
        <v>6</v>
      </c>
      <c r="O9" s="5" t="s">
        <v>6</v>
      </c>
      <c r="P9" s="5" t="s">
        <v>6</v>
      </c>
      <c r="Q9" s="5" t="s">
        <v>6</v>
      </c>
      <c r="R9" s="5" t="s">
        <v>6</v>
      </c>
      <c r="S9" s="5" t="s">
        <v>6</v>
      </c>
      <c r="T9" s="5" t="s">
        <v>6</v>
      </c>
      <c r="U9" s="5" t="s">
        <v>6</v>
      </c>
      <c r="V9" s="5" t="s">
        <v>6</v>
      </c>
      <c r="W9" s="5" t="s">
        <v>6</v>
      </c>
      <c r="X9" s="5" t="s">
        <v>6</v>
      </c>
      <c r="Y9" s="5" t="s">
        <v>6</v>
      </c>
      <c r="Z9" s="5" t="s">
        <v>6</v>
      </c>
      <c r="AA9" s="5" t="s">
        <v>6</v>
      </c>
      <c r="AB9" s="5" t="s">
        <v>6</v>
      </c>
      <c r="AC9" s="5" t="s">
        <v>6</v>
      </c>
      <c r="AD9" s="5" t="s">
        <v>6</v>
      </c>
      <c r="AE9" s="5" t="s">
        <v>6</v>
      </c>
      <c r="AF9" s="5" t="s">
        <v>6</v>
      </c>
      <c r="AG9" s="5" t="s">
        <v>6</v>
      </c>
      <c r="AH9" s="5"/>
      <c r="AI9" s="7" t="e">
        <f t="shared" si="0"/>
        <v>#REF!</v>
      </c>
      <c r="AJ9" s="7" t="e">
        <f t="shared" si="1"/>
        <v>#REF!</v>
      </c>
      <c r="AK9" s="7" t="e">
        <f t="shared" si="2"/>
        <v>#REF!</v>
      </c>
      <c r="AL9" s="7" t="e">
        <f t="shared" si="3"/>
        <v>#REF!</v>
      </c>
      <c r="AM9" s="7" t="e">
        <f t="shared" si="4"/>
        <v>#REF!</v>
      </c>
      <c r="AN9" s="7" t="e">
        <f t="shared" si="5"/>
        <v>#REF!</v>
      </c>
      <c r="AO9" s="7" t="e">
        <f t="shared" si="6"/>
        <v>#REF!</v>
      </c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7" t="e">
        <f>IF(Employee_Master!#REF!="","",Employee_Master!#REF!)</f>
        <v>#REF!</v>
      </c>
      <c r="B10" s="7" t="e">
        <f>IF(Employee_Master!#REF!="","",Employee_Master!#REF!)</f>
        <v>#REF!</v>
      </c>
      <c r="C10" s="7" t="e">
        <f>IF(Employee_Master!#REF!="","",Employee_Master!#REF!)</f>
        <v>#REF!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  <c r="K10" s="5" t="s">
        <v>6</v>
      </c>
      <c r="L10" s="5" t="s">
        <v>6</v>
      </c>
      <c r="M10" s="5" t="s">
        <v>6</v>
      </c>
      <c r="N10" s="5" t="s">
        <v>6</v>
      </c>
      <c r="O10" s="5" t="s">
        <v>6</v>
      </c>
      <c r="P10" s="5" t="s">
        <v>6</v>
      </c>
      <c r="Q10" s="5" t="s">
        <v>6</v>
      </c>
      <c r="R10" s="5" t="s">
        <v>6</v>
      </c>
      <c r="S10" s="5" t="s">
        <v>6</v>
      </c>
      <c r="T10" s="5" t="s">
        <v>6</v>
      </c>
      <c r="U10" s="5" t="s">
        <v>6</v>
      </c>
      <c r="V10" s="5" t="s">
        <v>6</v>
      </c>
      <c r="W10" s="5" t="s">
        <v>6</v>
      </c>
      <c r="X10" s="5" t="s">
        <v>6</v>
      </c>
      <c r="Y10" s="5" t="s">
        <v>6</v>
      </c>
      <c r="Z10" s="5" t="s">
        <v>6</v>
      </c>
      <c r="AA10" s="5" t="s">
        <v>6</v>
      </c>
      <c r="AB10" s="5" t="s">
        <v>6</v>
      </c>
      <c r="AC10" s="5" t="s">
        <v>6</v>
      </c>
      <c r="AD10" s="5" t="s">
        <v>6</v>
      </c>
      <c r="AE10" s="5" t="s">
        <v>6</v>
      </c>
      <c r="AF10" s="5" t="s">
        <v>6</v>
      </c>
      <c r="AG10" s="5" t="s">
        <v>6</v>
      </c>
      <c r="AH10" s="5"/>
      <c r="AI10" s="7" t="e">
        <f t="shared" si="0"/>
        <v>#REF!</v>
      </c>
      <c r="AJ10" s="7" t="e">
        <f t="shared" si="1"/>
        <v>#REF!</v>
      </c>
      <c r="AK10" s="7" t="e">
        <f t="shared" si="2"/>
        <v>#REF!</v>
      </c>
      <c r="AL10" s="7" t="e">
        <f t="shared" si="3"/>
        <v>#REF!</v>
      </c>
      <c r="AM10" s="7" t="e">
        <f t="shared" si="4"/>
        <v>#REF!</v>
      </c>
      <c r="AN10" s="7" t="e">
        <f t="shared" si="5"/>
        <v>#REF!</v>
      </c>
      <c r="AO10" s="7" t="e">
        <f t="shared" si="6"/>
        <v>#REF!</v>
      </c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7" t="str">
        <f>IF(Employee_Master!A4="","",Employee_Master!A4)</f>
        <v/>
      </c>
      <c r="B11" s="7" t="str">
        <f>IF(Employee_Master!B4="","",Employee_Master!B4)</f>
        <v/>
      </c>
      <c r="C11" s="7" t="str">
        <f>IF(Employee_Master!D4="","",Employee_Master!D4)</f>
        <v/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7" t="str">
        <f t="shared" si="0"/>
        <v/>
      </c>
      <c r="AJ11" s="7" t="str">
        <f t="shared" si="1"/>
        <v/>
      </c>
      <c r="AK11" s="7" t="str">
        <f t="shared" si="2"/>
        <v/>
      </c>
      <c r="AL11" s="7" t="str">
        <f t="shared" si="3"/>
        <v/>
      </c>
      <c r="AM11" s="7" t="str">
        <f t="shared" si="4"/>
        <v/>
      </c>
      <c r="AN11" s="7" t="str">
        <f t="shared" si="5"/>
        <v/>
      </c>
      <c r="AO11" s="7" t="str">
        <f t="shared" si="6"/>
        <v/>
      </c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>
      <c r="A12" s="7" t="str">
        <f>IF(Employee_Master!A5="","",Employee_Master!A5)</f>
        <v/>
      </c>
      <c r="B12" s="7" t="str">
        <f>IF(Employee_Master!B5="","",Employee_Master!B5)</f>
        <v/>
      </c>
      <c r="C12" s="7" t="str">
        <f>IF(Employee_Master!D5="","",Employee_Master!D5)</f>
        <v/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7" t="str">
        <f t="shared" si="0"/>
        <v/>
      </c>
      <c r="AJ12" s="7" t="str">
        <f t="shared" si="1"/>
        <v/>
      </c>
      <c r="AK12" s="7" t="str">
        <f t="shared" si="2"/>
        <v/>
      </c>
      <c r="AL12" s="7" t="str">
        <f t="shared" si="3"/>
        <v/>
      </c>
      <c r="AM12" s="7" t="str">
        <f t="shared" si="4"/>
        <v/>
      </c>
      <c r="AN12" s="7" t="str">
        <f t="shared" si="5"/>
        <v/>
      </c>
      <c r="AO12" s="7" t="str">
        <f t="shared" si="6"/>
        <v/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>
      <c r="A13" s="7" t="str">
        <f>IF(Employee_Master!A6="","",Employee_Master!A6)</f>
        <v/>
      </c>
      <c r="B13" s="7" t="str">
        <f>IF(Employee_Master!B6="","",Employee_Master!B6)</f>
        <v/>
      </c>
      <c r="C13" s="7" t="str">
        <f>IF(Employee_Master!D6="","",Employee_Master!D6)</f>
        <v/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7" t="str">
        <f t="shared" si="0"/>
        <v/>
      </c>
      <c r="AJ13" s="7" t="str">
        <f t="shared" si="1"/>
        <v/>
      </c>
      <c r="AK13" s="7" t="str">
        <f t="shared" si="2"/>
        <v/>
      </c>
      <c r="AL13" s="7" t="str">
        <f t="shared" si="3"/>
        <v/>
      </c>
      <c r="AM13" s="7" t="str">
        <f t="shared" si="4"/>
        <v/>
      </c>
      <c r="AN13" s="7" t="str">
        <f t="shared" si="5"/>
        <v/>
      </c>
      <c r="AO13" s="7" t="str">
        <f t="shared" si="6"/>
        <v/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>
      <c r="A14" s="7" t="str">
        <f>IF(Employee_Master!A7="","",Employee_Master!A7)</f>
        <v/>
      </c>
      <c r="B14" s="7" t="str">
        <f>IF(Employee_Master!B7="","",Employee_Master!B7)</f>
        <v/>
      </c>
      <c r="C14" s="7" t="str">
        <f>IF(Employee_Master!D7="","",Employee_Master!D7)</f>
        <v/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7" t="str">
        <f t="shared" si="0"/>
        <v/>
      </c>
      <c r="AJ14" s="7" t="str">
        <f t="shared" si="1"/>
        <v/>
      </c>
      <c r="AK14" s="7" t="str">
        <f t="shared" si="2"/>
        <v/>
      </c>
      <c r="AL14" s="7" t="str">
        <f t="shared" si="3"/>
        <v/>
      </c>
      <c r="AM14" s="7" t="str">
        <f t="shared" si="4"/>
        <v/>
      </c>
      <c r="AN14" s="7" t="str">
        <f t="shared" si="5"/>
        <v/>
      </c>
      <c r="AO14" s="7" t="str">
        <f t="shared" si="6"/>
        <v/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7" t="e">
        <f>IF(Employee_Master!#REF!="","",Employee_Master!#REF!)</f>
        <v>#REF!</v>
      </c>
      <c r="B15" s="7" t="e">
        <f>IF(Employee_Master!#REF!="","",Employee_Master!#REF!)</f>
        <v>#REF!</v>
      </c>
      <c r="C15" s="7" t="e">
        <f>IF(Employee_Master!#REF!="","",Employee_Master!#REF!)</f>
        <v>#REF!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7" t="e">
        <f t="shared" si="0"/>
        <v>#REF!</v>
      </c>
      <c r="AJ15" s="7" t="e">
        <f t="shared" si="1"/>
        <v>#REF!</v>
      </c>
      <c r="AK15" s="7" t="e">
        <f t="shared" si="2"/>
        <v>#REF!</v>
      </c>
      <c r="AL15" s="7" t="e">
        <f t="shared" si="3"/>
        <v>#REF!</v>
      </c>
      <c r="AM15" s="7" t="e">
        <f t="shared" si="4"/>
        <v>#REF!</v>
      </c>
      <c r="AN15" s="7" t="e">
        <f t="shared" si="5"/>
        <v>#REF!</v>
      </c>
      <c r="AO15" s="7" t="e">
        <f t="shared" si="6"/>
        <v>#REF!</v>
      </c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7" t="e">
        <f>IF(Employee_Master!#REF!="","",Employee_Master!#REF!)</f>
        <v>#REF!</v>
      </c>
      <c r="B16" s="7" t="e">
        <f>IF(Employee_Master!#REF!="","",Employee_Master!#REF!)</f>
        <v>#REF!</v>
      </c>
      <c r="C16" s="7" t="e">
        <f>IF(Employee_Master!#REF!="","",Employee_Master!#REF!)</f>
        <v>#REF!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7" t="e">
        <f t="shared" si="0"/>
        <v>#REF!</v>
      </c>
      <c r="AJ16" s="7" t="e">
        <f t="shared" si="1"/>
        <v>#REF!</v>
      </c>
      <c r="AK16" s="7" t="e">
        <f t="shared" si="2"/>
        <v>#REF!</v>
      </c>
      <c r="AL16" s="7" t="e">
        <f t="shared" si="3"/>
        <v>#REF!</v>
      </c>
      <c r="AM16" s="7" t="e">
        <f t="shared" si="4"/>
        <v>#REF!</v>
      </c>
      <c r="AN16" s="7" t="e">
        <f t="shared" si="5"/>
        <v>#REF!</v>
      </c>
      <c r="AO16" s="7" t="e">
        <f t="shared" si="6"/>
        <v>#REF!</v>
      </c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7" t="str">
        <f>IF(Employee_Master!A4="","",Employee_Master!A4)</f>
        <v/>
      </c>
      <c r="B17" s="7" t="str">
        <f>IF(Employee_Master!B4="","",Employee_Master!B4)</f>
        <v/>
      </c>
      <c r="C17" s="7" t="str">
        <f>IF(Employee_Master!D4="","",Employee_Master!D4)</f>
        <v/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7" t="str">
        <f t="shared" si="0"/>
        <v/>
      </c>
      <c r="AJ17" s="7" t="str">
        <f t="shared" si="1"/>
        <v/>
      </c>
      <c r="AK17" s="7" t="str">
        <f t="shared" si="2"/>
        <v/>
      </c>
      <c r="AL17" s="7" t="str">
        <f t="shared" si="3"/>
        <v/>
      </c>
      <c r="AM17" s="7" t="str">
        <f t="shared" si="4"/>
        <v/>
      </c>
      <c r="AN17" s="7" t="str">
        <f t="shared" si="5"/>
        <v/>
      </c>
      <c r="AO17" s="7" t="str">
        <f t="shared" si="6"/>
        <v/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7" t="str">
        <f>IF(Employee_Master!A5="","",Employee_Master!A5)</f>
        <v/>
      </c>
      <c r="B18" s="7" t="str">
        <f>IF(Employee_Master!B5="","",Employee_Master!B5)</f>
        <v/>
      </c>
      <c r="C18" s="7" t="str">
        <f>IF(Employee_Master!D5="","",Employee_Master!D5)</f>
        <v/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7" t="str">
        <f t="shared" si="0"/>
        <v/>
      </c>
      <c r="AJ18" s="7" t="str">
        <f t="shared" si="1"/>
        <v/>
      </c>
      <c r="AK18" s="7" t="str">
        <f t="shared" si="2"/>
        <v/>
      </c>
      <c r="AL18" s="7" t="str">
        <f t="shared" si="3"/>
        <v/>
      </c>
      <c r="AM18" s="7" t="str">
        <f t="shared" si="4"/>
        <v/>
      </c>
      <c r="AN18" s="7" t="str">
        <f t="shared" si="5"/>
        <v/>
      </c>
      <c r="AO18" s="7" t="str">
        <f t="shared" si="6"/>
        <v/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7" t="str">
        <f>IF(Employee_Master!A6="","",Employee_Master!A6)</f>
        <v/>
      </c>
      <c r="B19" s="7" t="str">
        <f>IF(Employee_Master!B6="","",Employee_Master!B6)</f>
        <v/>
      </c>
      <c r="C19" s="7" t="str">
        <f>IF(Employee_Master!D6="","",Employee_Master!D6)</f>
        <v/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7" t="str">
        <f t="shared" si="0"/>
        <v/>
      </c>
      <c r="AJ19" s="7" t="str">
        <f t="shared" si="1"/>
        <v/>
      </c>
      <c r="AK19" s="7" t="str">
        <f t="shared" si="2"/>
        <v/>
      </c>
      <c r="AL19" s="7" t="str">
        <f t="shared" si="3"/>
        <v/>
      </c>
      <c r="AM19" s="7" t="str">
        <f t="shared" si="4"/>
        <v/>
      </c>
      <c r="AN19" s="7" t="str">
        <f t="shared" si="5"/>
        <v/>
      </c>
      <c r="AO19" s="7" t="str">
        <f t="shared" si="6"/>
        <v/>
      </c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7" t="str">
        <f>IF(Employee_Master!A7="","",Employee_Master!A7)</f>
        <v/>
      </c>
      <c r="B20" s="7" t="str">
        <f>IF(Employee_Master!B7="","",Employee_Master!B7)</f>
        <v/>
      </c>
      <c r="C20" s="7" t="str">
        <f>IF(Employee_Master!D7="","",Employee_Master!D7)</f>
        <v/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7" t="str">
        <f t="shared" si="0"/>
        <v/>
      </c>
      <c r="AJ20" s="7" t="str">
        <f t="shared" si="1"/>
        <v/>
      </c>
      <c r="AK20" s="7" t="str">
        <f t="shared" si="2"/>
        <v/>
      </c>
      <c r="AL20" s="7" t="str">
        <f t="shared" si="3"/>
        <v/>
      </c>
      <c r="AM20" s="7" t="str">
        <f t="shared" si="4"/>
        <v/>
      </c>
      <c r="AN20" s="7" t="str">
        <f t="shared" si="5"/>
        <v/>
      </c>
      <c r="AO20" s="7" t="str">
        <f t="shared" si="6"/>
        <v/>
      </c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7" t="e">
        <f>IF(Employee_Master!#REF!="","",Employee_Master!#REF!)</f>
        <v>#REF!</v>
      </c>
      <c r="B21" s="7" t="e">
        <f>IF(Employee_Master!#REF!="","",Employee_Master!#REF!)</f>
        <v>#REF!</v>
      </c>
      <c r="C21" s="7" t="e">
        <f>IF(Employee_Master!#REF!="","",Employee_Master!#REF!)</f>
        <v>#REF!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7" t="e">
        <f t="shared" si="0"/>
        <v>#REF!</v>
      </c>
      <c r="AJ21" s="7" t="e">
        <f t="shared" si="1"/>
        <v>#REF!</v>
      </c>
      <c r="AK21" s="7" t="e">
        <f t="shared" si="2"/>
        <v>#REF!</v>
      </c>
      <c r="AL21" s="7" t="e">
        <f t="shared" si="3"/>
        <v>#REF!</v>
      </c>
      <c r="AM21" s="7" t="e">
        <f t="shared" si="4"/>
        <v>#REF!</v>
      </c>
      <c r="AN21" s="7" t="e">
        <f t="shared" si="5"/>
        <v>#REF!</v>
      </c>
      <c r="AO21" s="7" t="e">
        <f t="shared" si="6"/>
        <v>#REF!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</sheetData>
  <dataValidations count="1">
    <dataValidation type="list" sqref="D2:AH21" xr:uid="{00000000-0002-0000-0200-000000000000}">
      <formula1>"P,A,CL,EL,H,WO,HD,LWP,"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2"/>
  <sheetViews>
    <sheetView workbookViewId="0">
      <selection activeCell="D22" sqref="D22"/>
    </sheetView>
  </sheetViews>
  <sheetFormatPr baseColWidth="10" defaultColWidth="8.83203125" defaultRowHeight="14"/>
  <cols>
    <col min="1" max="2" width="15" customWidth="1"/>
    <col min="3" max="3" width="26" customWidth="1"/>
    <col min="4" max="12" width="15" customWidth="1"/>
  </cols>
  <sheetData>
    <row r="1" spans="1:52" ht="16">
      <c r="A1" s="2" t="s">
        <v>64</v>
      </c>
      <c r="B1" s="2" t="s">
        <v>29</v>
      </c>
      <c r="C1" s="2" t="s">
        <v>30</v>
      </c>
      <c r="D1" s="2" t="s">
        <v>36</v>
      </c>
      <c r="E1" s="2" t="s">
        <v>65</v>
      </c>
      <c r="F1" s="2" t="s">
        <v>58</v>
      </c>
      <c r="G1" s="2" t="s">
        <v>66</v>
      </c>
      <c r="H1" s="2" t="s">
        <v>37</v>
      </c>
      <c r="I1" s="2" t="s">
        <v>67</v>
      </c>
      <c r="J1" s="2" t="s">
        <v>59</v>
      </c>
      <c r="K1" s="2" t="s">
        <v>68</v>
      </c>
      <c r="L1" s="2" t="s">
        <v>62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>
      <c r="A2" s="10">
        <f>Settings!$B$4</f>
        <v>46204</v>
      </c>
      <c r="B2" s="7">
        <f>IF(Employee_Master!A2="","",Employee_Master!A2)</f>
        <v>4</v>
      </c>
      <c r="C2" s="7" t="str">
        <f>IF(Employee_Master!B2="","",Employee_Master!B2)</f>
        <v>Sumit Sunil Chirmade</v>
      </c>
      <c r="D2" s="11">
        <f>IF(B2="","",Employee_Master!H2)</f>
        <v>0</v>
      </c>
      <c r="E2" s="11">
        <f>IF(B2="","",Settings!$B$5)</f>
        <v>0</v>
      </c>
      <c r="F2" s="11">
        <f>IF(B2="","",Daily_Attendance!AJ2)</f>
        <v>0</v>
      </c>
      <c r="G2" s="11">
        <f t="shared" ref="G2" si="0">IF(B2="","",D2+E2-F2)</f>
        <v>0</v>
      </c>
      <c r="H2" s="11">
        <f>IF(B2="","",Employee_Master!I2)</f>
        <v>0</v>
      </c>
      <c r="I2" s="11">
        <f>IF(B2="","",Settings!$B$6)</f>
        <v>1</v>
      </c>
      <c r="J2" s="11">
        <f>IF(B2="","",Daily_Attendance!AK2)</f>
        <v>0</v>
      </c>
      <c r="K2" s="11">
        <f t="shared" ref="K2" si="1">IF(B2="","",H2+I2-J2)</f>
        <v>1</v>
      </c>
      <c r="L2" s="11">
        <f>IF(B2="","",Daily_Attendance!AN2)</f>
        <v>30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>
      <c r="A3" s="10">
        <f>Settings!$B$4</f>
        <v>46204</v>
      </c>
      <c r="B3" s="7">
        <f>IF(Employee_Master!A3="","",Employee_Master!A3)</f>
        <v>9</v>
      </c>
      <c r="C3" s="7" t="str">
        <f>IF(Employee_Master!B3="","",Employee_Master!B3)</f>
        <v>Mahesh Swami</v>
      </c>
      <c r="D3" s="11">
        <f>IF(B3="","",Employee_Master!H3)</f>
        <v>6</v>
      </c>
      <c r="E3" s="11">
        <f>IF(B3="","",Settings!$B$5)</f>
        <v>0</v>
      </c>
      <c r="F3" s="11">
        <f>IF(B3="","",Daily_Attendance!AJ6)</f>
        <v>0</v>
      </c>
      <c r="G3" s="11">
        <f t="shared" ref="G3" si="2">IF(B3="","",D3+E3-F3)</f>
        <v>6</v>
      </c>
      <c r="H3" s="11">
        <f>IF(B3="","",Employee_Master!I3)</f>
        <v>2</v>
      </c>
      <c r="I3" s="11">
        <f>IF(B3="","",Settings!$B$6)</f>
        <v>1</v>
      </c>
      <c r="J3" s="11">
        <f>IF(B3="","",Daily_Attendance!AK6)</f>
        <v>0</v>
      </c>
      <c r="K3" s="11">
        <f t="shared" ref="K3" si="3">IF(B3="","",H3+I3-J3)</f>
        <v>3</v>
      </c>
      <c r="L3" s="11">
        <f>IF(B3="","",Daily_Attendance!AN6)</f>
        <v>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2"/>
  <sheetViews>
    <sheetView workbookViewId="0">
      <selection activeCell="C21" sqref="C21"/>
    </sheetView>
  </sheetViews>
  <sheetFormatPr baseColWidth="10" defaultColWidth="8.83203125" defaultRowHeight="14"/>
  <cols>
    <col min="1" max="2" width="14" customWidth="1"/>
    <col min="3" max="3" width="26" customWidth="1"/>
    <col min="4" max="4" width="28" customWidth="1"/>
    <col min="5" max="21" width="14" customWidth="1"/>
  </cols>
  <sheetData>
    <row r="1" spans="1:52" ht="32">
      <c r="A1" s="2" t="s">
        <v>64</v>
      </c>
      <c r="B1" s="2" t="s">
        <v>29</v>
      </c>
      <c r="C1" s="2" t="s">
        <v>30</v>
      </c>
      <c r="D1" s="2" t="s">
        <v>32</v>
      </c>
      <c r="E1" s="2" t="s">
        <v>69</v>
      </c>
      <c r="F1" s="2" t="s">
        <v>63</v>
      </c>
      <c r="G1" s="2" t="s">
        <v>38</v>
      </c>
      <c r="H1" s="2" t="s">
        <v>39</v>
      </c>
      <c r="I1" s="2" t="s">
        <v>70</v>
      </c>
      <c r="J1" s="2" t="s">
        <v>41</v>
      </c>
      <c r="K1" s="2" t="s">
        <v>71</v>
      </c>
      <c r="L1" s="2" t="s">
        <v>72</v>
      </c>
      <c r="M1" s="2" t="s">
        <v>44</v>
      </c>
      <c r="N1" s="2" t="s">
        <v>45</v>
      </c>
      <c r="O1" s="2" t="s">
        <v>46</v>
      </c>
      <c r="P1" s="2" t="s">
        <v>73</v>
      </c>
      <c r="Q1" s="2" t="s">
        <v>74</v>
      </c>
      <c r="R1" s="2" t="s">
        <v>48</v>
      </c>
      <c r="S1" s="2" t="s">
        <v>49</v>
      </c>
      <c r="T1" s="2" t="s">
        <v>75</v>
      </c>
      <c r="U1" s="2" t="s">
        <v>76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>
      <c r="A2" s="10">
        <f>Settings!$B$4</f>
        <v>46204</v>
      </c>
      <c r="B2" s="7">
        <f>IF(Employee_Master!A2="","",Employee_Master!A2)</f>
        <v>4</v>
      </c>
      <c r="C2" s="7" t="str">
        <f>IF(Employee_Master!B2="","",Employee_Master!B2)</f>
        <v>Sumit Sunil Chirmade</v>
      </c>
      <c r="D2" s="7" t="str">
        <f>IF(Employee_Master!D2="","",Employee_Master!D2)</f>
        <v>Assistant Manager - NPD &amp; Purchase</v>
      </c>
      <c r="E2" s="7">
        <f>DAY(EOMONTH(Settings!$B$4,0))</f>
        <v>31</v>
      </c>
      <c r="F2" s="7">
        <f>IF(B2="","",Daily_Attendance!AO2)</f>
        <v>0</v>
      </c>
      <c r="G2" s="9">
        <f>IF(B2="","",ROUND(Employee_Master!J2*F2/E2,0))</f>
        <v>0</v>
      </c>
      <c r="H2" s="9">
        <f>IF(B2="","",ROUND(Employee_Master!K2*F2/E2,0))</f>
        <v>0</v>
      </c>
      <c r="I2" s="9">
        <f>IF(B2="","",ROUND(Employee_Master!L2*F2/E2,0))</f>
        <v>0</v>
      </c>
      <c r="J2" s="9">
        <f>IF(B2="","",ROUND(Employee_Master!M2*F2/E2,0))</f>
        <v>0</v>
      </c>
      <c r="K2" s="9">
        <f>IF(B2="","",ROUND(Employee_Master!N2*F2/E2,0))</f>
        <v>0</v>
      </c>
      <c r="L2" s="9">
        <f>IF(B2="","",ROUND(Employee_Master!O2*F2/E2,0))</f>
        <v>0</v>
      </c>
      <c r="M2" s="9">
        <f>IF(B2="","",ROUND(Employee_Master!P2*F2/E2,0))</f>
        <v>0</v>
      </c>
      <c r="N2" s="9">
        <f>IF(B2="","",ROUND(Employee_Master!Q2*F2/E2,0))</f>
        <v>0</v>
      </c>
      <c r="O2" s="9">
        <f>IF(B2="","",Employee_Master!R2)</f>
        <v>0</v>
      </c>
      <c r="P2" s="9">
        <f t="shared" ref="P2" si="0">IF(B2="","",SUM(G2:O2))</f>
        <v>0</v>
      </c>
      <c r="Q2" s="9">
        <f>IF(B2="","",Employee_Master!S2)</f>
        <v>0</v>
      </c>
      <c r="R2" s="9">
        <f>IF(B2="","",Employee_Master!T2)</f>
        <v>0</v>
      </c>
      <c r="S2" s="9">
        <f>IF(B2="","",Employee_Master!U2)</f>
        <v>0</v>
      </c>
      <c r="T2" s="9">
        <f t="shared" ref="T2" si="1">IF(B2="","",SUM(Q2:S2))</f>
        <v>0</v>
      </c>
      <c r="U2" s="9">
        <f t="shared" ref="U2" si="2">IF(B2="","",P2-T2)</f>
        <v>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>
      <c r="A3" s="10">
        <f>Settings!$B$4</f>
        <v>46204</v>
      </c>
      <c r="B3" s="7">
        <f>IF(Employee_Master!A3="","",Employee_Master!A3)</f>
        <v>9</v>
      </c>
      <c r="C3" s="7" t="str">
        <f>IF(Employee_Master!B3="","",Employee_Master!B3)</f>
        <v>Mahesh Swami</v>
      </c>
      <c r="D3" s="7" t="str">
        <f>IF(Employee_Master!D3="","",Employee_Master!D3)</f>
        <v>Asst Manager Purchase &amp; NPD</v>
      </c>
      <c r="E3" s="7">
        <f>DAY(EOMONTH(Settings!$B$4,0))</f>
        <v>31</v>
      </c>
      <c r="F3" s="7">
        <f>IF(B3="","",Daily_Attendance!AO6)</f>
        <v>31</v>
      </c>
      <c r="G3" s="9">
        <f>IF(B3="","",ROUND(Employee_Master!J3*F3/E3,0))</f>
        <v>20000</v>
      </c>
      <c r="H3" s="9">
        <f>IF(B3="","",ROUND(Employee_Master!K3*F3/E3,0))</f>
        <v>8000</v>
      </c>
      <c r="I3" s="9">
        <f>IF(B3="","",ROUND(Employee_Master!L3*F3/E3,0))</f>
        <v>200</v>
      </c>
      <c r="J3" s="9">
        <f>IF(B3="","",ROUND(Employee_Master!M3*F3/E3,0))</f>
        <v>1600</v>
      </c>
      <c r="K3" s="9">
        <f>IF(B3="","",ROUND(Employee_Master!N3*F3/E3,0))</f>
        <v>2000</v>
      </c>
      <c r="L3" s="9">
        <f>IF(B3="","",ROUND(Employee_Master!O3*F3/E3,0))</f>
        <v>11000</v>
      </c>
      <c r="M3" s="9">
        <f>IF(B3="","",ROUND(Employee_Master!P3*F3/E3,0))</f>
        <v>3179</v>
      </c>
      <c r="N3" s="9">
        <f>IF(B3="","",ROUND(Employee_Master!Q3*F3/E3,0))</f>
        <v>2400</v>
      </c>
      <c r="O3" s="9">
        <v>0</v>
      </c>
      <c r="P3" s="9">
        <f t="shared" ref="P3" si="3">IF(B3="","",SUM(G3:O3))</f>
        <v>48379</v>
      </c>
      <c r="Q3" s="9">
        <f>IF(B3="","",Employee_Master!S3)</f>
        <v>0</v>
      </c>
      <c r="R3" s="9">
        <f>IF(B3="","",Employee_Master!T3)</f>
        <v>200</v>
      </c>
      <c r="S3" s="9">
        <f>IF(B3="","",Employee_Master!U3)</f>
        <v>0</v>
      </c>
      <c r="T3" s="9">
        <f t="shared" ref="T3" si="4">IF(B3="","",SUM(Q3:S3))</f>
        <v>200</v>
      </c>
      <c r="U3" s="28">
        <f t="shared" ref="U3" si="5">IF(B3="","",P3-T3)</f>
        <v>48179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 t="e">
        <f>#REF!/2</f>
        <v>#REF!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Z61"/>
  <sheetViews>
    <sheetView workbookViewId="0">
      <selection activeCell="J19" sqref="J19"/>
    </sheetView>
  </sheetViews>
  <sheetFormatPr baseColWidth="10" defaultColWidth="8.83203125" defaultRowHeight="14"/>
  <cols>
    <col min="1" max="1" width="24" customWidth="1"/>
    <col min="2" max="2" width="26" customWidth="1"/>
    <col min="3" max="3" width="24" customWidth="1"/>
    <col min="4" max="4" width="18" customWidth="1"/>
  </cols>
  <sheetData>
    <row r="1" spans="1:52" ht="16">
      <c r="A1" s="2" t="s">
        <v>78</v>
      </c>
      <c r="B1" s="5">
        <v>10</v>
      </c>
      <c r="C1" s="7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15">
      <c r="A2" s="19"/>
      <c r="B2" s="20"/>
      <c r="C2" s="20"/>
      <c r="D2" s="2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8">
      <c r="A3" s="32" t="str">
        <f>Settings!$B$3</f>
        <v>ERGO ASIA INC.</v>
      </c>
      <c r="B3" s="32"/>
      <c r="C3" s="32"/>
      <c r="D3" s="3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8">
      <c r="A4" s="32" t="s">
        <v>77</v>
      </c>
      <c r="B4" s="32"/>
      <c r="C4" s="32"/>
      <c r="D4" s="3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15">
      <c r="A6" s="21" t="s">
        <v>79</v>
      </c>
      <c r="B6" s="21" t="str">
        <f>TEXT(Settings!$B$4,"mmmm-yy")</f>
        <v>July-26</v>
      </c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15">
      <c r="A7" s="12" t="s">
        <v>30</v>
      </c>
      <c r="B7" s="26" t="str">
        <f>IFERROR(INDEX(Employee_Master!$B$2:$B$20,MATCH($B$1,Employee_Master!$A$2:$A$20,0)),"")</f>
        <v/>
      </c>
      <c r="C7" s="12" t="s">
        <v>31</v>
      </c>
      <c r="D7" s="18" t="str">
        <f>IFERROR(INDEX(Employee_Master!$C$2:$C$20,MATCH($B$1,Employee_Master!$A$2:$A$20,0)),"")</f>
        <v/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15">
      <c r="A8" s="12" t="s">
        <v>80</v>
      </c>
      <c r="B8" s="27">
        <f>$B$1</f>
        <v>10</v>
      </c>
      <c r="C8" s="12" t="s">
        <v>81</v>
      </c>
      <c r="D8" s="12" t="str">
        <f>IFERROR(INDEX(Monthly_Payroll!$E$2:$E$3,MATCH($B$1,Monthly_Payroll!$B$2:$B$3,0)),"")</f>
        <v/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ht="15">
      <c r="A9" s="12" t="s">
        <v>32</v>
      </c>
      <c r="B9" s="27" t="str">
        <f>IFERROR(INDEX(Employee_Master!$D$2:$D$20,MATCH($B$1,Employee_Master!$A$2:$A$20,0)),"")</f>
        <v/>
      </c>
      <c r="C9" s="12" t="s">
        <v>82</v>
      </c>
      <c r="D9" s="12" t="str">
        <f>IFERROR(INDEX(Monthly_Payroll!$F$2:$F$3,MATCH($B$1,Monthly_Payroll!$B$2:$B$3,0)),"")</f>
        <v/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ht="15">
      <c r="A10" s="12" t="s">
        <v>83</v>
      </c>
      <c r="B10" s="27" t="str">
        <f>IFERROR(INDEX(Employee_Master!$E$2:$E$20,MATCH($B$1,Employee_Master!$A$2:$A$20,0)),"")</f>
        <v/>
      </c>
      <c r="C10" s="12" t="s">
        <v>84</v>
      </c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ht="15">
      <c r="A11" s="12" t="s">
        <v>85</v>
      </c>
      <c r="B11" s="27" t="str">
        <f>IFERROR(INDEX(Employee_Master!$F$2:$F$20,MATCH($B$1,Employee_Master!$A$2:$A$20,0)),"")</f>
        <v/>
      </c>
      <c r="C11" s="12" t="s">
        <v>86</v>
      </c>
      <c r="D11" s="12">
        <f>IFERROR(INDEX(Leave_Register!$D$2:$D$3,MATCH($B$1,Leave_Register!$B$2:$B$3,0)),0)+IFERROR(INDEX(Leave_Register!$H$2:$H$3,MATCH($B$1,Leave_Register!$B$2:$B$3,0)),0)</f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ht="30">
      <c r="A12" s="12" t="s">
        <v>87</v>
      </c>
      <c r="B12" s="27" t="str">
        <f>IFERROR(INDEX(Employee_Master!$G$2:$G$20,MATCH($B$1,Employee_Master!$A$2:$A$20,0)),"")</f>
        <v/>
      </c>
      <c r="C12" s="12" t="s">
        <v>88</v>
      </c>
      <c r="D12" s="12">
        <f>IFERROR(INDEX(Leave_Register!$E$2:$E$3,MATCH($B$1,Leave_Register!$B$2:$B$3,0)),0)+IFERROR(INDEX(Leave_Register!$I$2:$I$3,MATCH($B$1,Leave_Register!$B$2:$B$3,0)),0)</f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ht="15">
      <c r="A13" s="12"/>
      <c r="B13" s="12"/>
      <c r="C13" s="12" t="s">
        <v>89</v>
      </c>
      <c r="D13" s="12">
        <f>IFERROR(INDEX(Leave_Register!$F$2:$F$3,MATCH($B$1,Leave_Register!$B$2:$B$3,0)),0)+IFERROR(INDEX(Leave_Register!$J$2:$J$3,MATCH($B$1,Leave_Register!$B$2:$B$3,0)),0)</f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ht="15">
      <c r="A14" s="12"/>
      <c r="B14" s="12"/>
      <c r="C14" s="12" t="s">
        <v>90</v>
      </c>
      <c r="D14" s="12">
        <f>IFERROR(INDEX(Leave_Register!$G$2:$G$3,MATCH($B$1,Leave_Register!$B$2:$B$3,0)),0)+IFERROR(INDEX(Leave_Register!$K$2:$K$3,MATCH($B$1,Leave_Register!$B$2:$B$3,0)),0)</f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7"/>
      <c r="B15" s="7"/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ht="16">
      <c r="A16" s="2" t="s">
        <v>91</v>
      </c>
      <c r="B16" s="2"/>
      <c r="C16" s="2" t="s">
        <v>92</v>
      </c>
      <c r="D16" s="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ht="16">
      <c r="A17" s="2" t="s">
        <v>93</v>
      </c>
      <c r="B17" s="2" t="s">
        <v>94</v>
      </c>
      <c r="C17" s="2" t="s">
        <v>93</v>
      </c>
      <c r="D17" s="2" t="s">
        <v>94</v>
      </c>
      <c r="E17" s="4"/>
      <c r="F17" s="4"/>
      <c r="G17" s="4"/>
      <c r="H17" s="4"/>
      <c r="I17" s="4"/>
      <c r="J17" s="4">
        <v>1585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7" t="s">
        <v>38</v>
      </c>
      <c r="B18" s="9">
        <f>IFERROR(INDEX(Monthly_Payroll!$G$2:$G$3,MATCH($B$1,Monthly_Payroll!$B$2:$B$3,0)),0)</f>
        <v>0</v>
      </c>
      <c r="C18" s="7" t="s">
        <v>95</v>
      </c>
      <c r="D18" s="9">
        <f>IFERROR(INDEX(Monthly_Payroll!$Q$2:$Q$3,MATCH($B$1,Monthly_Payroll!$B$2:$B$3,0)),0)</f>
        <v>0</v>
      </c>
      <c r="E18" s="4"/>
      <c r="F18" s="4"/>
      <c r="G18" s="4"/>
      <c r="H18" s="4"/>
      <c r="I18" s="4"/>
      <c r="J18" s="4">
        <v>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7" t="s">
        <v>96</v>
      </c>
      <c r="B19" s="9">
        <f>IFERROR(INDEX(Monthly_Payroll!$H$2:$H$3,MATCH($B$1,Monthly_Payroll!$B$2:$B$3,0)),0)</f>
        <v>0</v>
      </c>
      <c r="C19" s="7" t="s">
        <v>48</v>
      </c>
      <c r="D19" s="9">
        <f>IFERROR(INDEX(Monthly_Payroll!$R$2:$R$3,MATCH($B$1,Monthly_Payroll!$B$2:$B$3,0)),0)</f>
        <v>0</v>
      </c>
      <c r="E19" s="4"/>
      <c r="F19" s="4"/>
      <c r="G19" s="4"/>
      <c r="H19" s="4"/>
      <c r="I19" s="4"/>
      <c r="J19" s="4">
        <f>J17*J18</f>
        <v>3170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7" t="s">
        <v>40</v>
      </c>
      <c r="B20" s="9">
        <f>IFERROR(INDEX(Monthly_Payroll!$I$2:$I$3,MATCH($B$1,Monthly_Payroll!$B$2:$B$3,0)),0)</f>
        <v>0</v>
      </c>
      <c r="C20" s="7" t="s">
        <v>49</v>
      </c>
      <c r="D20" s="9">
        <f>IFERROR(INDEX(Monthly_Payroll!$S$2:$S$3,MATCH($B$1,Monthly_Payroll!$B$2:$B$3,0)),0)</f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7" t="s">
        <v>97</v>
      </c>
      <c r="B21" s="9">
        <f>IFERROR(INDEX(Monthly_Payroll!$J$2:$J$3,MATCH($B$1,Monthly_Payroll!$B$2:$B$3,0)),0)</f>
        <v>0</v>
      </c>
      <c r="C21" s="7"/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7" t="s">
        <v>98</v>
      </c>
      <c r="B22" s="9">
        <f>IFERROR(INDEX(Monthly_Payroll!$K$2:$K$3,MATCH($B$1,Monthly_Payroll!$B$2:$B$3,0)),0)</f>
        <v>0</v>
      </c>
      <c r="C22" s="7"/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7" t="s">
        <v>43</v>
      </c>
      <c r="B23" s="9">
        <f>IFERROR(INDEX(Monthly_Payroll!$L$2:$L$3,MATCH($B$1,Monthly_Payroll!$B$2:$B$3,0)),0)</f>
        <v>0</v>
      </c>
      <c r="C23" s="7"/>
      <c r="D23" s="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7" t="s">
        <v>99</v>
      </c>
      <c r="B24" s="9">
        <f>IFERROR(INDEX(Monthly_Payroll!$M$2:$M$3,MATCH($B$1,Monthly_Payroll!$B$2:$B$3,0)),0)</f>
        <v>0</v>
      </c>
      <c r="C24" s="7"/>
      <c r="D24" s="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7" t="s">
        <v>100</v>
      </c>
      <c r="B25" s="9">
        <f>IFERROR(INDEX(Monthly_Payroll!$N$2:$N$3,MATCH($B$1,Monthly_Payroll!$B$2:$B$3,0)),0)</f>
        <v>0</v>
      </c>
      <c r="C25" s="7"/>
      <c r="D25" s="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7" t="s">
        <v>46</v>
      </c>
      <c r="B26" s="9">
        <f>IFERROR(INDEX(Monthly_Payroll!$O$2:$O$3,MATCH($B$1,Monthly_Payroll!$B$2:$B$3,0)),0)</f>
        <v>0</v>
      </c>
      <c r="C26" s="7"/>
      <c r="D26" s="9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7" t="s">
        <v>101</v>
      </c>
      <c r="B27" s="9">
        <f>SUM(B18:B26)</f>
        <v>0</v>
      </c>
      <c r="C27" s="7" t="s">
        <v>101</v>
      </c>
      <c r="D27" s="9">
        <f>SUM(D18:D26)</f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5">
      <c r="A28" s="33" t="s">
        <v>76</v>
      </c>
      <c r="B28" s="34"/>
      <c r="C28" s="33"/>
      <c r="D28" s="13">
        <f>B27-D27</f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7"/>
      <c r="B29" s="7"/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7"/>
      <c r="B30" s="7"/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35"/>
      <c r="B31" s="35"/>
      <c r="C31" s="36" t="e" vm="1">
        <v>#VALUE!</v>
      </c>
      <c r="D31" s="3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35"/>
      <c r="B32" s="35"/>
      <c r="C32" s="36"/>
      <c r="D32" s="3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>
      <c r="A33" s="35"/>
      <c r="B33" s="35"/>
      <c r="C33" s="36"/>
      <c r="D33" s="3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 ht="18" customHeight="1">
      <c r="A34" s="35"/>
      <c r="B34" s="35"/>
      <c r="C34" s="36"/>
      <c r="D34" s="3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 ht="15">
      <c r="A35" s="31" t="s">
        <v>102</v>
      </c>
      <c r="B35" s="31"/>
      <c r="C35" s="31" t="s">
        <v>103</v>
      </c>
      <c r="D35" s="3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1:5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1:5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1:5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1:5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1:5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1:5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1:5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1:5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1:5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1:5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1: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1:5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1:5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1:5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1:5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1:5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1:5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1:5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1:5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1:5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</sheetData>
  <mergeCells count="7">
    <mergeCell ref="A35:B35"/>
    <mergeCell ref="C35:D35"/>
    <mergeCell ref="A3:D3"/>
    <mergeCell ref="A4:D4"/>
    <mergeCell ref="A28:C28"/>
    <mergeCell ref="A31:B34"/>
    <mergeCell ref="C31:D34"/>
  </mergeCells>
  <pageMargins left="0.7" right="0.7" top="0.75" bottom="0.75" header="0.3" footer="0.3"/>
  <pageSetup paperSize="9" scale="8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41"/>
  <sheetViews>
    <sheetView tabSelected="1" workbookViewId="0">
      <selection activeCell="E17" sqref="E17"/>
    </sheetView>
  </sheetViews>
  <sheetFormatPr baseColWidth="10" defaultColWidth="8.83203125" defaultRowHeight="14"/>
  <cols>
    <col min="1" max="1" width="18" customWidth="1"/>
    <col min="2" max="2" width="28" customWidth="1"/>
    <col min="3" max="5" width="18" customWidth="1"/>
  </cols>
  <sheetData>
    <row r="1" spans="1:52" ht="21">
      <c r="A1" s="29" t="s">
        <v>104</v>
      </c>
      <c r="B1" s="30"/>
      <c r="C1" s="30"/>
      <c r="D1" s="30"/>
      <c r="E1" s="30"/>
      <c r="F1" s="30"/>
      <c r="G1" s="30"/>
      <c r="H1" s="3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6">
      <c r="A3" s="2" t="s">
        <v>64</v>
      </c>
      <c r="B3" s="14" t="str">
        <f>TEXT(Settings!$B$4,"mmmm-yy")</f>
        <v>July-26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16">
      <c r="A4" s="2" t="s">
        <v>105</v>
      </c>
      <c r="B4" s="14">
        <f>COUNTIF(Employee_Master!V2:V20,"Yes")</f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ht="16">
      <c r="A5" s="2" t="s">
        <v>106</v>
      </c>
      <c r="B5" s="15">
        <f>SUM(Monthly_Payroll!P2:P3)</f>
        <v>48379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ht="16">
      <c r="A6" s="2" t="s">
        <v>107</v>
      </c>
      <c r="B6" s="15">
        <f>SUM(Monthly_Payroll!T2:T3)</f>
        <v>200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ht="16">
      <c r="A7" s="2" t="s">
        <v>108</v>
      </c>
      <c r="B7" s="15">
        <f>SUM(Monthly_Payroll!U2:U3)</f>
        <v>48179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ht="16">
      <c r="A8" s="2" t="s">
        <v>109</v>
      </c>
      <c r="B8" s="14">
        <f>SUM(Leave_Register!F2:F3)+SUM(Leave_Register!J2:J3)</f>
        <v>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ht="16">
      <c r="A10" s="2" t="s">
        <v>29</v>
      </c>
      <c r="B10" s="2" t="s">
        <v>30</v>
      </c>
      <c r="C10" s="2" t="s">
        <v>63</v>
      </c>
      <c r="D10" s="2" t="s">
        <v>110</v>
      </c>
      <c r="E10" s="2" t="s">
        <v>76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7">
        <f>Monthly_Payroll!B2</f>
        <v>4</v>
      </c>
      <c r="B11" s="7" t="str">
        <f>Monthly_Payroll!C2</f>
        <v>Sumit Sunil Chirmade</v>
      </c>
      <c r="C11" s="7">
        <f>Monthly_Payroll!F2</f>
        <v>0</v>
      </c>
      <c r="D11" s="7">
        <f>Leave_Register!F2+Leave_Register!J2</f>
        <v>0</v>
      </c>
      <c r="E11" s="9">
        <f>Monthly_Payroll!U2</f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>
      <c r="A12" s="7">
        <f>Monthly_Payroll!B3</f>
        <v>9</v>
      </c>
      <c r="B12" s="7" t="str">
        <f>Monthly_Payroll!C3</f>
        <v>Mahesh Swami</v>
      </c>
      <c r="C12" s="7">
        <f>Monthly_Payroll!F3</f>
        <v>31</v>
      </c>
      <c r="D12" s="7">
        <f>Leave_Register!F3+Leave_Register!J3</f>
        <v>0</v>
      </c>
      <c r="E12" s="9">
        <f>Monthly_Payroll!U3</f>
        <v>48179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1:5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1:5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1:5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1:5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1:5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1:5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1:5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1:5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1:5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</sheetData>
  <mergeCells count="1">
    <mergeCell ref="A1:H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Employee_Master</vt:lpstr>
      <vt:lpstr>Daily_Attendance</vt:lpstr>
      <vt:lpstr>Leave_Register</vt:lpstr>
      <vt:lpstr>Monthly_Payroll</vt:lpstr>
      <vt:lpstr>Payslip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Joshi</cp:lastModifiedBy>
  <cp:lastPrinted>2026-07-31T18:20:35Z</cp:lastPrinted>
  <dcterms:created xsi:type="dcterms:W3CDTF">2026-07-02T05:16:03Z</dcterms:created>
  <dcterms:modified xsi:type="dcterms:W3CDTF">2026-08-12T01:10:06Z</dcterms:modified>
</cp:coreProperties>
</file>